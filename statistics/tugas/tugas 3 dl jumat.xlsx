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87e\OneDrive\Desktop\"/>
    </mc:Choice>
  </mc:AlternateContent>
  <xr:revisionPtr revIDLastSave="0" documentId="13_ncr:1_{E6D733A2-7A3A-4047-9BDC-E99DB88CE0FB}" xr6:coauthVersionLast="47" xr6:coauthVersionMax="47" xr10:uidLastSave="{00000000-0000-0000-0000-000000000000}"/>
  <bookViews>
    <workbookView xWindow="-110" yWindow="-110" windowWidth="19420" windowHeight="10300" xr2:uid="{A65777F9-8DB4-4F8D-B7C1-AA06E1C0B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H3" i="1"/>
  <c r="E8" i="1"/>
  <c r="B13" i="1"/>
  <c r="I3" i="1"/>
  <c r="J3" i="1" s="1"/>
  <c r="E5" i="1"/>
  <c r="B12" i="1"/>
  <c r="G9" i="1"/>
  <c r="B11" i="1" s="1"/>
  <c r="G3" i="1"/>
  <c r="G4" i="1"/>
  <c r="G5" i="1"/>
  <c r="G6" i="1"/>
  <c r="G7" i="1"/>
  <c r="G8" i="1"/>
  <c r="G2" i="1"/>
  <c r="D9" i="1"/>
  <c r="F2" i="1"/>
  <c r="F3" i="1" s="1"/>
  <c r="F4" i="1" s="1"/>
  <c r="F5" i="1" s="1"/>
  <c r="F6" i="1" s="1"/>
  <c r="F7" i="1" s="1"/>
  <c r="F8" i="1" s="1"/>
  <c r="E3" i="1"/>
  <c r="E4" i="1"/>
  <c r="E6" i="1"/>
  <c r="E7" i="1"/>
  <c r="E2" i="1"/>
  <c r="H4" i="1" l="1"/>
  <c r="I4" i="1" s="1"/>
  <c r="J4" i="1" s="1"/>
  <c r="H6" i="1"/>
  <c r="I6" i="1" s="1"/>
  <c r="J6" i="1" s="1"/>
  <c r="H7" i="1"/>
  <c r="I7" i="1" s="1"/>
  <c r="J7" i="1" s="1"/>
  <c r="H2" i="1"/>
  <c r="I2" i="1" s="1"/>
  <c r="J2" i="1" s="1"/>
  <c r="H5" i="1"/>
  <c r="I5" i="1" s="1"/>
  <c r="J5" i="1" s="1"/>
  <c r="H8" i="1"/>
  <c r="I8" i="1" s="1"/>
  <c r="J8" i="1" s="1"/>
  <c r="J9" i="1" l="1"/>
</calcChain>
</file>

<file path=xl/sharedStrings.xml><?xml version="1.0" encoding="utf-8"?>
<sst xmlns="http://schemas.openxmlformats.org/spreadsheetml/2006/main" count="31" uniqueCount="23">
  <si>
    <t>|x-mean|</t>
  </si>
  <si>
    <t>nilai</t>
  </si>
  <si>
    <t>-</t>
  </si>
  <si>
    <t>fi</t>
  </si>
  <si>
    <t>xi</t>
  </si>
  <si>
    <t>F</t>
  </si>
  <si>
    <t>fi.xi</t>
  </si>
  <si>
    <t>mean</t>
  </si>
  <si>
    <t>median</t>
  </si>
  <si>
    <t>modus</t>
  </si>
  <si>
    <t>tb= 1496,5</t>
  </si>
  <si>
    <t>1/2n = 25</t>
  </si>
  <si>
    <t>F =18</t>
  </si>
  <si>
    <t>fe = 25</t>
  </si>
  <si>
    <t>I = 21</t>
  </si>
  <si>
    <t>tb = 1496,5</t>
  </si>
  <si>
    <t>d1 = 15</t>
  </si>
  <si>
    <t>d2 = 21</t>
  </si>
  <si>
    <t>I =21</t>
  </si>
  <si>
    <t>|x-mean|^2</t>
  </si>
  <si>
    <t>fi |x-mean |^2</t>
  </si>
  <si>
    <t>variance</t>
  </si>
  <si>
    <t>dev 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</si>
</sst>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7AC3-7FCB-475F-B386-4B493D5BE84C}">
  <dimension ref="A1:J16"/>
  <sheetViews>
    <sheetView tabSelected="1" workbookViewId="0">
      <selection activeCell="I12" sqref="I12"/>
    </sheetView>
  </sheetViews>
  <sheetFormatPr defaultRowHeight="14.5" x14ac:dyDescent="0.35"/>
  <cols>
    <col min="1" max="1" width="13.6328125" style="1" customWidth="1"/>
    <col min="2" max="2" width="9.26953125" style="1" customWidth="1"/>
    <col min="3" max="3" width="9.54296875" style="1" customWidth="1"/>
    <col min="4" max="4" width="11.36328125" style="1" customWidth="1"/>
    <col min="5" max="5" width="10.453125" style="1" customWidth="1"/>
    <col min="6" max="6" width="11.90625" style="1" customWidth="1"/>
    <col min="7" max="7" width="8.7265625" style="1"/>
    <col min="8" max="8" width="11.1796875" style="1" customWidth="1"/>
    <col min="9" max="9" width="13.81640625" style="1" customWidth="1"/>
    <col min="10" max="10" width="13" style="1" customWidth="1"/>
    <col min="11" max="16384" width="8.7265625" style="1"/>
  </cols>
  <sheetData>
    <row r="1" spans="1:10" x14ac:dyDescent="0.35">
      <c r="A1" s="3" t="s">
        <v>1</v>
      </c>
      <c r="B1" s="3"/>
      <c r="C1" s="3"/>
      <c r="D1" s="3" t="s">
        <v>3</v>
      </c>
      <c r="E1" s="3" t="s">
        <v>4</v>
      </c>
      <c r="F1" s="3" t="s">
        <v>5</v>
      </c>
      <c r="G1" s="3" t="s">
        <v>6</v>
      </c>
      <c r="H1" s="3" t="s">
        <v>0</v>
      </c>
      <c r="I1" s="3" t="s">
        <v>19</v>
      </c>
      <c r="J1" s="3" t="s">
        <v>20</v>
      </c>
    </row>
    <row r="2" spans="1:10" x14ac:dyDescent="0.35">
      <c r="A2" s="2">
        <v>1455</v>
      </c>
      <c r="B2" s="2" t="s">
        <v>2</v>
      </c>
      <c r="C2" s="2">
        <v>1475</v>
      </c>
      <c r="D2" s="2">
        <v>8</v>
      </c>
      <c r="E2" s="2">
        <f>(A2+C2)/2</f>
        <v>1465</v>
      </c>
      <c r="F2" s="2">
        <f>D2</f>
        <v>8</v>
      </c>
      <c r="G2" s="2">
        <f>D2*E2</f>
        <v>11720</v>
      </c>
      <c r="H2" s="2">
        <f>B11-E2</f>
        <v>36.119999999999891</v>
      </c>
      <c r="I2" s="2">
        <f>H2*H2</f>
        <v>1304.6543999999922</v>
      </c>
      <c r="J2" s="2">
        <f>D2*I2</f>
        <v>10437.235199999937</v>
      </c>
    </row>
    <row r="3" spans="1:10" x14ac:dyDescent="0.35">
      <c r="A3" s="2">
        <v>1476</v>
      </c>
      <c r="B3" s="2" t="s">
        <v>2</v>
      </c>
      <c r="C3" s="2">
        <v>1496</v>
      </c>
      <c r="D3" s="2">
        <v>10</v>
      </c>
      <c r="E3" s="2">
        <f t="shared" ref="E3:E7" si="0">(A3+C3)/2</f>
        <v>1486</v>
      </c>
      <c r="F3" s="2">
        <f>F2+D3</f>
        <v>18</v>
      </c>
      <c r="G3" s="2">
        <f t="shared" ref="G3:G8" si="1">D3*E3</f>
        <v>14860</v>
      </c>
      <c r="H3" s="2">
        <f>B11-E3</f>
        <v>15.119999999999891</v>
      </c>
      <c r="I3" s="2">
        <f t="shared" ref="I3:I8" si="2">H3*H3</f>
        <v>228.61439999999669</v>
      </c>
      <c r="J3" s="2">
        <f t="shared" ref="J3:J8" si="3">D3*I3</f>
        <v>2286.143999999967</v>
      </c>
    </row>
    <row r="4" spans="1:10" x14ac:dyDescent="0.35">
      <c r="A4" s="2">
        <v>1497</v>
      </c>
      <c r="B4" s="2" t="s">
        <v>2</v>
      </c>
      <c r="C4" s="2">
        <v>1517</v>
      </c>
      <c r="D4" s="2">
        <v>25</v>
      </c>
      <c r="E4" s="2">
        <f t="shared" si="0"/>
        <v>1507</v>
      </c>
      <c r="F4" s="2">
        <f t="shared" ref="F4:F8" si="4">F3+D4</f>
        <v>43</v>
      </c>
      <c r="G4" s="2">
        <f t="shared" si="1"/>
        <v>37675</v>
      </c>
      <c r="H4" s="2">
        <f>E4-B11</f>
        <v>5.8800000000001091</v>
      </c>
      <c r="I4" s="2">
        <f t="shared" si="2"/>
        <v>34.574400000001283</v>
      </c>
      <c r="J4" s="2">
        <f t="shared" si="3"/>
        <v>864.36000000003207</v>
      </c>
    </row>
    <row r="5" spans="1:10" x14ac:dyDescent="0.35">
      <c r="A5" s="2">
        <v>1518</v>
      </c>
      <c r="B5" s="2" t="s">
        <v>2</v>
      </c>
      <c r="C5" s="2">
        <v>1538</v>
      </c>
      <c r="D5" s="2">
        <v>4</v>
      </c>
      <c r="E5" s="2">
        <f>(A5+C5)/2</f>
        <v>1528</v>
      </c>
      <c r="F5" s="2">
        <f t="shared" si="4"/>
        <v>47</v>
      </c>
      <c r="G5" s="2">
        <f t="shared" si="1"/>
        <v>6112</v>
      </c>
      <c r="H5" s="2">
        <f>E5-B11</f>
        <v>26.880000000000109</v>
      </c>
      <c r="I5" s="2">
        <f t="shared" si="2"/>
        <v>722.53440000000592</v>
      </c>
      <c r="J5" s="2">
        <f t="shared" si="3"/>
        <v>2890.1376000000237</v>
      </c>
    </row>
    <row r="6" spans="1:10" x14ac:dyDescent="0.35">
      <c r="A6" s="2">
        <v>1539</v>
      </c>
      <c r="B6" s="2" t="s">
        <v>2</v>
      </c>
      <c r="C6" s="2">
        <v>1559</v>
      </c>
      <c r="D6" s="2">
        <v>2</v>
      </c>
      <c r="E6" s="2">
        <f t="shared" si="0"/>
        <v>1549</v>
      </c>
      <c r="F6" s="2">
        <f t="shared" si="4"/>
        <v>49</v>
      </c>
      <c r="G6" s="2">
        <f t="shared" si="1"/>
        <v>3098</v>
      </c>
      <c r="H6" s="2">
        <f>E6-B11</f>
        <v>47.880000000000109</v>
      </c>
      <c r="I6" s="2">
        <f t="shared" si="2"/>
        <v>2292.4944000000105</v>
      </c>
      <c r="J6" s="2">
        <f t="shared" si="3"/>
        <v>4584.988800000021</v>
      </c>
    </row>
    <row r="7" spans="1:10" x14ac:dyDescent="0.35">
      <c r="A7" s="2">
        <v>1560</v>
      </c>
      <c r="B7" s="2" t="s">
        <v>2</v>
      </c>
      <c r="C7" s="2">
        <v>1580</v>
      </c>
      <c r="D7" s="2">
        <v>0</v>
      </c>
      <c r="E7" s="2">
        <f t="shared" si="0"/>
        <v>1570</v>
      </c>
      <c r="F7" s="2">
        <f t="shared" si="4"/>
        <v>49</v>
      </c>
      <c r="G7" s="2">
        <f t="shared" si="1"/>
        <v>0</v>
      </c>
      <c r="H7" s="2">
        <f>E7-B11</f>
        <v>68.880000000000109</v>
      </c>
      <c r="I7" s="2">
        <f t="shared" si="2"/>
        <v>4744.4544000000151</v>
      </c>
      <c r="J7" s="2">
        <f t="shared" si="3"/>
        <v>0</v>
      </c>
    </row>
    <row r="8" spans="1:10" x14ac:dyDescent="0.35">
      <c r="A8" s="2">
        <v>1581</v>
      </c>
      <c r="B8" s="2" t="s">
        <v>2</v>
      </c>
      <c r="C8" s="2">
        <v>1601</v>
      </c>
      <c r="D8" s="2">
        <v>1</v>
      </c>
      <c r="E8" s="2">
        <f>(A8+C8)/2</f>
        <v>1591</v>
      </c>
      <c r="F8" s="2">
        <f t="shared" si="4"/>
        <v>50</v>
      </c>
      <c r="G8" s="2">
        <f t="shared" si="1"/>
        <v>1591</v>
      </c>
      <c r="H8" s="2">
        <f>E8-B11</f>
        <v>89.880000000000109</v>
      </c>
      <c r="I8" s="2">
        <f t="shared" si="2"/>
        <v>8078.4144000000197</v>
      </c>
      <c r="J8" s="2">
        <f t="shared" si="3"/>
        <v>8078.4144000000197</v>
      </c>
    </row>
    <row r="9" spans="1:10" x14ac:dyDescent="0.35">
      <c r="A9" s="2"/>
      <c r="B9" s="2"/>
      <c r="C9" s="2"/>
      <c r="D9" s="2">
        <f>SUM(D2:D8)</f>
        <v>50</v>
      </c>
      <c r="E9" s="2"/>
      <c r="F9" s="2"/>
      <c r="G9" s="2">
        <f>SUM(G2:G8)</f>
        <v>75056</v>
      </c>
      <c r="H9" s="2"/>
      <c r="I9" s="2"/>
      <c r="J9" s="2">
        <f>SUM(J2:J8)</f>
        <v>29141.280000000002</v>
      </c>
    </row>
    <row r="11" spans="1:10" x14ac:dyDescent="0.35">
      <c r="A11" s="2" t="s">
        <v>7</v>
      </c>
      <c r="B11" s="2">
        <f>G9/D9</f>
        <v>1501.12</v>
      </c>
      <c r="E11" s="2" t="s">
        <v>8</v>
      </c>
      <c r="F11" s="2" t="s">
        <v>9</v>
      </c>
    </row>
    <row r="12" spans="1:10" x14ac:dyDescent="0.35">
      <c r="A12" s="2" t="s">
        <v>8</v>
      </c>
      <c r="B12" s="2">
        <f>1496.5+(7/25)*21</f>
        <v>1502.38</v>
      </c>
      <c r="E12" s="2" t="s">
        <v>10</v>
      </c>
      <c r="F12" s="2" t="s">
        <v>15</v>
      </c>
    </row>
    <row r="13" spans="1:10" x14ac:dyDescent="0.35">
      <c r="A13" s="2" t="s">
        <v>9</v>
      </c>
      <c r="B13" s="2">
        <f>1496.5+((15/36)*21)</f>
        <v>1505.25</v>
      </c>
      <c r="E13" s="2" t="s">
        <v>11</v>
      </c>
      <c r="F13" s="2" t="s">
        <v>16</v>
      </c>
    </row>
    <row r="14" spans="1:10" x14ac:dyDescent="0.35">
      <c r="A14" s="2" t="s">
        <v>21</v>
      </c>
      <c r="B14" s="2">
        <f>J9/D9</f>
        <v>582.82560000000001</v>
      </c>
      <c r="E14" s="2" t="s">
        <v>12</v>
      </c>
      <c r="F14" s="2" t="s">
        <v>17</v>
      </c>
    </row>
    <row r="15" spans="1:10" x14ac:dyDescent="0.35">
      <c r="A15" s="2" t="s">
        <v>22</v>
      </c>
      <c r="B15" s="2">
        <f>SQRT(B14)</f>
        <v>24.141781210175857</v>
      </c>
      <c r="E15" s="2" t="s">
        <v>13</v>
      </c>
      <c r="F15" s="2" t="s">
        <v>18</v>
      </c>
    </row>
    <row r="16" spans="1:10" x14ac:dyDescent="0.35">
      <c r="E16" s="2" t="s">
        <v>14</v>
      </c>
      <c r="F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 687</dc:creator>
  <cp:lastModifiedBy>rahmat 687</cp:lastModifiedBy>
  <dcterms:created xsi:type="dcterms:W3CDTF">2024-03-16T03:41:46Z</dcterms:created>
  <dcterms:modified xsi:type="dcterms:W3CDTF">2024-03-22T10:18:09Z</dcterms:modified>
</cp:coreProperties>
</file>