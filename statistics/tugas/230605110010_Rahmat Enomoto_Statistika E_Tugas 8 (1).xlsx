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687e\Downloads\"/>
    </mc:Choice>
  </mc:AlternateContent>
  <xr:revisionPtr revIDLastSave="0" documentId="13_ncr:1_{9C3A7EB0-828B-44EB-9735-B1DB2B919F68}" xr6:coauthVersionLast="47" xr6:coauthVersionMax="47" xr10:uidLastSave="{00000000-0000-0000-0000-000000000000}"/>
  <bookViews>
    <workbookView xWindow="-110" yWindow="-110" windowWidth="19420" windowHeight="10300" xr2:uid="{3DFF33E7-E065-4B68-9FEF-DC923BC03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E32" i="1"/>
  <c r="E33" i="1" s="1"/>
  <c r="B30" i="1" s="1"/>
  <c r="B35" i="1" s="1"/>
  <c r="B28" i="1"/>
  <c r="D35" i="1"/>
  <c r="B33" i="1"/>
  <c r="E31" i="1"/>
  <c r="E30" i="1"/>
  <c r="P9" i="1"/>
  <c r="P11" i="1"/>
  <c r="P7" i="1"/>
  <c r="K20" i="1"/>
  <c r="K10" i="1"/>
  <c r="K11" i="1"/>
  <c r="K12" i="1"/>
  <c r="K13" i="1"/>
  <c r="K14" i="1"/>
  <c r="K15" i="1"/>
  <c r="K16" i="1"/>
  <c r="K17" i="1"/>
  <c r="K18" i="1"/>
  <c r="K19" i="1"/>
  <c r="K9" i="1"/>
  <c r="K8" i="1"/>
  <c r="J20" i="1"/>
  <c r="J8" i="1"/>
  <c r="J10" i="1"/>
  <c r="J11" i="1"/>
  <c r="J12" i="1"/>
  <c r="J13" i="1"/>
  <c r="J14" i="1"/>
  <c r="J15" i="1"/>
  <c r="J16" i="1"/>
  <c r="J17" i="1"/>
  <c r="J18" i="1"/>
  <c r="J19" i="1"/>
  <c r="J9" i="1"/>
  <c r="I20" i="1"/>
  <c r="I9" i="1"/>
  <c r="I10" i="1"/>
  <c r="I11" i="1"/>
  <c r="I12" i="1"/>
  <c r="I13" i="1"/>
  <c r="I14" i="1"/>
  <c r="I15" i="1"/>
  <c r="I16" i="1"/>
  <c r="I17" i="1"/>
  <c r="I18" i="1"/>
  <c r="I19" i="1"/>
  <c r="I8" i="1"/>
  <c r="H20" i="1"/>
  <c r="H9" i="1"/>
  <c r="H10" i="1"/>
  <c r="H11" i="1"/>
  <c r="H12" i="1"/>
  <c r="H13" i="1"/>
  <c r="H14" i="1"/>
  <c r="H15" i="1"/>
  <c r="H16" i="1"/>
  <c r="H17" i="1"/>
  <c r="H18" i="1"/>
  <c r="H19" i="1"/>
  <c r="H8" i="1"/>
  <c r="G20" i="1"/>
  <c r="G9" i="1"/>
  <c r="G10" i="1"/>
  <c r="G11" i="1"/>
  <c r="G12" i="1"/>
  <c r="G13" i="1"/>
  <c r="G14" i="1"/>
  <c r="G15" i="1"/>
  <c r="G16" i="1"/>
  <c r="G17" i="1"/>
  <c r="G18" i="1"/>
  <c r="G19" i="1"/>
  <c r="G8" i="1"/>
  <c r="P13" i="1" l="1"/>
  <c r="P14" i="1" s="1"/>
</calcChain>
</file>

<file path=xl/sharedStrings.xml><?xml version="1.0" encoding="utf-8"?>
<sst xmlns="http://schemas.openxmlformats.org/spreadsheetml/2006/main" count="63" uniqueCount="50">
  <si>
    <t>CONTOH KASUS UJI KORELASI PEARSON PRODUCT MOMENT</t>
  </si>
  <si>
    <t>Sebuah perusahaan periklanan ingin mengetahui hubungan antara durasi iklan produk (X) yang ditayangkan</t>
  </si>
  <si>
    <t>per bulan oleh salah satu TV swasta terhadap tingkat penjualan barang (Y). Kemudian diambil durasi penayangan iklan dan tingkat penjualan  selama setahun</t>
  </si>
  <si>
    <t>setiap satu bulan, dengan data sebagai berikut:</t>
  </si>
  <si>
    <t>Penjualan Barang (unit)</t>
  </si>
  <si>
    <t>Durasi Iklan (menit)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</si>
  <si>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</si>
  <si>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</si>
  <si>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</si>
  <si>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</si>
  <si>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</si>
  <si>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</si>
  <si>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</si>
  <si>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</si>
  <si>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</si>
  <si>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</si>
  <si>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</si>
  <si>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</si>
  <si>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Periode</t>
  </si>
  <si>
    <t>X</t>
  </si>
  <si>
    <t>Y</t>
  </si>
  <si>
    <t>XY</t>
  </si>
  <si>
    <t>TOTAL</t>
  </si>
  <si>
    <t>Pertanyaan :</t>
  </si>
  <si>
    <t>1. Berapa besar hubungan (korelasi) antara variabel X dan Y?</t>
  </si>
  <si>
    <t xml:space="preserve">2. Berapa besar sumbangan variabel X terhadap variabel Y dan apakah </t>
  </si>
  <si>
    <t>ada hubungan yang signifikan antara variabel X dan Y?</t>
  </si>
  <si>
    <t xml:space="preserve">Gunakan taraf nyata </t>
  </si>
  <si>
    <t>Menghitung nilai r:</t>
  </si>
  <si>
    <t>=</t>
  </si>
  <si>
    <r>
      <t>n(</t>
    </r>
    <r>
      <rPr>
        <sz val="11"/>
        <color theme="1"/>
        <rFont val="Calibri"/>
        <family val="2"/>
      </rPr>
      <t>∑xy)-(∑x.∑y)    =</t>
    </r>
  </si>
  <si>
    <t xml:space="preserve"> </t>
  </si>
  <si>
    <t>n∑y^2-(∑y)^2    =</t>
  </si>
  <si>
    <t>n∑x^2-(∑x)^2    =</t>
  </si>
  <si>
    <t>KD=r^2 x 100%</t>
  </si>
  <si>
    <t>n        =</t>
  </si>
  <si>
    <t>n-2   =</t>
  </si>
  <si>
    <t>akar 10  =</t>
  </si>
  <si>
    <t>akar 1-r^2</t>
  </si>
  <si>
    <t>1-r^2</t>
  </si>
  <si>
    <t>Thitung  =</t>
  </si>
  <si>
    <t>T tabel =</t>
  </si>
  <si>
    <t>karena Thitung =</t>
  </si>
  <si>
    <t xml:space="preserve"> dan T tabel = </t>
  </si>
  <si>
    <t>, maka Thitung &gt; Ttabel sehingga ada hubungan yang signifikan  antara variabel X dan Y</t>
  </si>
  <si>
    <t>Penarikan kesimpulan :</t>
  </si>
  <si>
    <t>Terdapat korelasi yang sangat kuat dan bernilai positif (searah) antara durasi penayangan iklan (variabel X) dan</t>
  </si>
  <si>
    <t>tingkat penjualan (variabel Y). Besar sumbangan variabel X (variabel bebas) terhadap variabel Y (variabel terikat)</t>
  </si>
  <si>
    <t>adalah 77,314%, sedangkan 22,866% dari pengaruh didapatkan dari variabel lain. Uji signifikansi menunjukkan</t>
  </si>
  <si>
    <t>adanya hubungan yang signifikan antara durasi penayangan iklan produk (variabel X) dan tingkat penjualan (variabel 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</si>
</sst>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0000000"/>
    <numFmt numFmtId="174" formatCode="0.00000%"/>
    <numFmt numFmtId="178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right"/>
    </xf>
    <xf numFmtId="170" fontId="0" fillId="0" borderId="0" xfId="0" applyNumberFormat="1"/>
    <xf numFmtId="174" fontId="0" fillId="0" borderId="0" xfId="1" applyNumberFormat="1" applyFont="1"/>
    <xf numFmtId="17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219075</xdr:colOff>
      <xdr:row>6</xdr:row>
      <xdr:rowOff>28575</xdr:rowOff>
    </xdr:from>
    <xdr:ext cx="19505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511422E-67B7-4D91-F431-E0DB67122EB3}"/>
                </a:ext>
              </a:extLst>
            </xdr:cNvPr>
            <xdr:cNvSpPr txBox="1"/>
          </xdr:nvSpPr>
          <xdr:spPr>
            <a:xfrm>
              <a:off x="7280275" y="1133475"/>
              <a:ext cx="19505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511422E-67B7-4D91-F431-E0DB67122EB3}"/>
                </a:ext>
              </a:extLst>
            </xdr:cNvPr>
            <xdr:cNvSpPr txBox="1"/>
          </xdr:nvSpPr>
          <xdr:spPr>
            <a:xfrm>
              <a:off x="7280275" y="1133475"/>
              <a:ext cx="19505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en-ID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323850</xdr:colOff>
      <xdr:row>6</xdr:row>
      <xdr:rowOff>25400</xdr:rowOff>
    </xdr:from>
    <xdr:ext cx="18819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912B9E6-4152-40AF-8A00-7E3563311EFB}"/>
                </a:ext>
              </a:extLst>
            </xdr:cNvPr>
            <xdr:cNvSpPr txBox="1"/>
          </xdr:nvSpPr>
          <xdr:spPr>
            <a:xfrm>
              <a:off x="7994650" y="1130300"/>
              <a:ext cx="18819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912B9E6-4152-40AF-8A00-7E3563311EFB}"/>
                </a:ext>
              </a:extLst>
            </xdr:cNvPr>
            <xdr:cNvSpPr txBox="1"/>
          </xdr:nvSpPr>
          <xdr:spPr>
            <a:xfrm>
              <a:off x="7994650" y="1130300"/>
              <a:ext cx="18819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</a:t>
              </a:r>
              <a:r>
                <a:rPr lang="en-ID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</xdr:col>
      <xdr:colOff>333375</xdr:colOff>
      <xdr:row>24</xdr:row>
      <xdr:rowOff>9525</xdr:rowOff>
    </xdr:from>
    <xdr:ext cx="50808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D4F320FB-6BE3-6A24-8504-DCD8DCD87DBF}"/>
                </a:ext>
              </a:extLst>
            </xdr:cNvPr>
            <xdr:cNvSpPr txBox="1"/>
          </xdr:nvSpPr>
          <xdr:spPr>
            <a:xfrm>
              <a:off x="1279525" y="4429125"/>
              <a:ext cx="508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=5%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D4F320FB-6BE3-6A24-8504-DCD8DCD87DBF}"/>
                </a:ext>
              </a:extLst>
            </xdr:cNvPr>
            <xdr:cNvSpPr txBox="1"/>
          </xdr:nvSpPr>
          <xdr:spPr>
            <a:xfrm>
              <a:off x="1279525" y="4429125"/>
              <a:ext cx="50808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=5%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581025</xdr:colOff>
      <xdr:row>22</xdr:row>
      <xdr:rowOff>85725</xdr:rowOff>
    </xdr:from>
    <xdr:ext cx="2442976" cy="3995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A47DEC7-D4E7-8227-86D6-45FE8959D6F9}"/>
                </a:ext>
              </a:extLst>
            </xdr:cNvPr>
            <xdr:cNvSpPr txBox="1"/>
          </xdr:nvSpPr>
          <xdr:spPr>
            <a:xfrm>
              <a:off x="5813425" y="4137025"/>
              <a:ext cx="2442976" cy="399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𝑥𝑦</m:t>
                                </m:r>
                              </m:e>
                            </m:nary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nary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nary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nary>
                                          <m:naryPr>
                                            <m:chr m:val="∑"/>
                                            <m:subHide m:val="on"/>
                                            <m:supHide m:val="on"/>
                                            <m:ctrlPr>
                                              <a:rPr 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naryPr>
                                          <m:sub/>
                                          <m:sup/>
                                          <m:e>
                                            <m:r>
                                              <a:rPr lang="en-US" sz="1100" b="0" i="1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𝑥</m:t>
                                            </m:r>
                                          </m:e>
                                        </m:nary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][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p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nary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(</m:t>
                                    </m:r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𝑦</m:t>
                                        </m:r>
                                      </m:e>
                                    </m:nary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)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nary>
                          </m:e>
                        </m:rad>
                      </m:den>
                    </m:f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A47DEC7-D4E7-8227-86D6-45FE8959D6F9}"/>
                </a:ext>
              </a:extLst>
            </xdr:cNvPr>
            <xdr:cNvSpPr txBox="1"/>
          </xdr:nvSpPr>
          <xdr:spPr>
            <a:xfrm>
              <a:off x="5813425" y="4137025"/>
              <a:ext cx="2442976" cy="3995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𝑟=(𝑛(∑▒𝑥𝑦)−(∑▒𝑥.∑▒𝑦))/√([𝑛∑▒〖𝑥^2−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(∑▒𝑥)^</a:t>
              </a:r>
              <a:r>
                <a:rPr lang="en-US" sz="1100" b="0" i="0">
                  <a:latin typeface="Cambria Math" panose="02040503050406030204" pitchFamily="18" charset="0"/>
                </a:rPr>
                <a:t>2][𝑛∑▒𝑦^2 −〖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(∑▒𝑦)〗^</a:t>
              </a:r>
              <a:r>
                <a:rPr lang="en-US" sz="1100" b="0" i="0">
                  <a:latin typeface="Cambria Math" panose="02040503050406030204" pitchFamily="18" charset="0"/>
                </a:rPr>
                <a:t>2 〗)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47E4-3E00-4AFC-B4B5-EA226654CD0A}">
  <dimension ref="A1:P41"/>
  <sheetViews>
    <sheetView tabSelected="1" topLeftCell="A16" zoomScale="65" zoomScaleNormal="40" workbookViewId="0">
      <selection activeCell="I39" sqref="I39"/>
    </sheetView>
  </sheetViews>
  <sheetFormatPr defaultRowHeight="14.5" x14ac:dyDescent="0.35"/>
  <cols>
    <col min="1" max="1" width="18.08984375" customWidth="1"/>
    <col min="2" max="2" width="14.36328125" customWidth="1"/>
    <col min="3" max="3" width="14.08984375" customWidth="1"/>
    <col min="4" max="4" width="12.08984375" customWidth="1"/>
    <col min="5" max="5" width="12.36328125" customWidth="1"/>
    <col min="6" max="6" width="13.1796875" customWidth="1"/>
    <col min="9" max="9" width="14.453125" customWidth="1"/>
    <col min="10" max="10" width="11.81640625" bestFit="1" customWidth="1"/>
    <col min="11" max="11" width="16.453125" customWidth="1"/>
    <col min="14" max="14" width="11.81640625" bestFit="1" customWidth="1"/>
    <col min="16" max="16" width="11.81640625" bestFit="1" customWidth="1"/>
  </cols>
  <sheetData>
    <row r="1" spans="1:16" x14ac:dyDescent="0.35">
      <c r="A1" s="1" t="s">
        <v>0</v>
      </c>
    </row>
    <row r="3" spans="1:16" x14ac:dyDescent="0.35">
      <c r="A3" t="s">
        <v>1</v>
      </c>
    </row>
    <row r="4" spans="1:16" x14ac:dyDescent="0.35">
      <c r="A4" t="s">
        <v>2</v>
      </c>
    </row>
    <row r="5" spans="1:16" x14ac:dyDescent="0.35">
      <c r="A5" t="s">
        <v>3</v>
      </c>
      <c r="N5" t="s">
        <v>35</v>
      </c>
      <c r="P5">
        <v>12</v>
      </c>
    </row>
    <row r="7" spans="1:16" x14ac:dyDescent="0.35">
      <c r="A7" s="2" t="s">
        <v>18</v>
      </c>
      <c r="B7" s="2" t="s">
        <v>5</v>
      </c>
      <c r="C7" s="2" t="s">
        <v>4</v>
      </c>
      <c r="F7" s="2" t="s">
        <v>18</v>
      </c>
      <c r="G7" s="2" t="s">
        <v>19</v>
      </c>
      <c r="H7" s="2" t="s">
        <v>20</v>
      </c>
      <c r="I7" s="2" t="s">
        <v>21</v>
      </c>
      <c r="J7" s="3"/>
      <c r="K7" s="3"/>
      <c r="N7" t="s">
        <v>30</v>
      </c>
      <c r="P7">
        <f>(P5*I20)-(G20*H20)</f>
        <v>4686800</v>
      </c>
    </row>
    <row r="8" spans="1:16" x14ac:dyDescent="0.35">
      <c r="A8" s="3" t="s">
        <v>6</v>
      </c>
      <c r="B8" s="3">
        <v>45</v>
      </c>
      <c r="C8" s="3">
        <v>35240</v>
      </c>
      <c r="F8" s="3" t="s">
        <v>6</v>
      </c>
      <c r="G8" s="3">
        <f>B8</f>
        <v>45</v>
      </c>
      <c r="H8" s="3">
        <f>C8</f>
        <v>35240</v>
      </c>
      <c r="I8" s="3">
        <f>G8*H8</f>
        <v>1585800</v>
      </c>
      <c r="J8" s="3">
        <f>G8^2</f>
        <v>2025</v>
      </c>
      <c r="K8" s="3">
        <f>H8^2</f>
        <v>1241857600</v>
      </c>
    </row>
    <row r="9" spans="1:16" x14ac:dyDescent="0.35">
      <c r="A9" s="3" t="s">
        <v>7</v>
      </c>
      <c r="B9" s="3">
        <v>55</v>
      </c>
      <c r="C9" s="3">
        <v>36540</v>
      </c>
      <c r="F9" s="3" t="s">
        <v>7</v>
      </c>
      <c r="G9" s="3">
        <f t="shared" ref="G9:G19" si="0">B9</f>
        <v>55</v>
      </c>
      <c r="H9" s="3">
        <f t="shared" ref="H9:H19" si="1">C9</f>
        <v>36540</v>
      </c>
      <c r="I9" s="3">
        <f t="shared" ref="I9:I19" si="2">G9*H9</f>
        <v>2009700</v>
      </c>
      <c r="J9" s="3">
        <f>G9^2</f>
        <v>3025</v>
      </c>
      <c r="K9" s="3">
        <f>H9^2</f>
        <v>1335171600</v>
      </c>
      <c r="N9" t="s">
        <v>33</v>
      </c>
      <c r="P9">
        <f>P5*J20-G20^2</f>
        <v>14600</v>
      </c>
    </row>
    <row r="10" spans="1:16" x14ac:dyDescent="0.35">
      <c r="A10" s="3" t="s">
        <v>8</v>
      </c>
      <c r="B10" s="3">
        <v>40</v>
      </c>
      <c r="C10" s="3">
        <v>35000</v>
      </c>
      <c r="F10" s="3" t="s">
        <v>8</v>
      </c>
      <c r="G10" s="3">
        <f t="shared" si="0"/>
        <v>40</v>
      </c>
      <c r="H10" s="3">
        <f t="shared" si="1"/>
        <v>35000</v>
      </c>
      <c r="I10" s="3">
        <f t="shared" si="2"/>
        <v>1400000</v>
      </c>
      <c r="J10" s="3">
        <f t="shared" ref="J10:J19" si="3">G10^2</f>
        <v>1600</v>
      </c>
      <c r="K10" s="3">
        <f t="shared" ref="K10:K19" si="4">H10^2</f>
        <v>1225000000</v>
      </c>
      <c r="N10" t="s">
        <v>31</v>
      </c>
    </row>
    <row r="11" spans="1:16" x14ac:dyDescent="0.35">
      <c r="A11" s="3" t="s">
        <v>9</v>
      </c>
      <c r="B11" s="3">
        <v>60</v>
      </c>
      <c r="C11" s="3">
        <v>42500</v>
      </c>
      <c r="F11" s="3" t="s">
        <v>9</v>
      </c>
      <c r="G11" s="3">
        <f t="shared" si="0"/>
        <v>60</v>
      </c>
      <c r="H11" s="3">
        <f t="shared" si="1"/>
        <v>42500</v>
      </c>
      <c r="I11" s="3">
        <f t="shared" si="2"/>
        <v>2550000</v>
      </c>
      <c r="J11" s="3">
        <f t="shared" si="3"/>
        <v>3600</v>
      </c>
      <c r="K11" s="3">
        <f t="shared" si="4"/>
        <v>1806250000</v>
      </c>
      <c r="N11" t="s">
        <v>32</v>
      </c>
      <c r="P11">
        <f>(P5*K20)-(H20^2)</f>
        <v>1950512000</v>
      </c>
    </row>
    <row r="12" spans="1:16" x14ac:dyDescent="0.35">
      <c r="A12" s="3" t="s">
        <v>10</v>
      </c>
      <c r="B12" s="3">
        <v>70</v>
      </c>
      <c r="C12" s="3">
        <v>43000</v>
      </c>
      <c r="F12" s="3" t="s">
        <v>10</v>
      </c>
      <c r="G12" s="3">
        <f t="shared" si="0"/>
        <v>70</v>
      </c>
      <c r="H12" s="3">
        <f t="shared" si="1"/>
        <v>43000</v>
      </c>
      <c r="I12" s="3">
        <f t="shared" si="2"/>
        <v>3010000</v>
      </c>
      <c r="J12" s="3">
        <f t="shared" si="3"/>
        <v>4900</v>
      </c>
      <c r="K12" s="3">
        <f t="shared" si="4"/>
        <v>1849000000</v>
      </c>
    </row>
    <row r="13" spans="1:16" x14ac:dyDescent="0.35">
      <c r="A13" s="3" t="s">
        <v>11</v>
      </c>
      <c r="B13" s="3">
        <v>60</v>
      </c>
      <c r="C13" s="3">
        <v>42500</v>
      </c>
      <c r="F13" s="3" t="s">
        <v>11</v>
      </c>
      <c r="G13" s="3">
        <f t="shared" si="0"/>
        <v>60</v>
      </c>
      <c r="H13" s="3">
        <f t="shared" si="1"/>
        <v>42500</v>
      </c>
      <c r="I13" s="3">
        <f t="shared" si="2"/>
        <v>2550000</v>
      </c>
      <c r="J13" s="3">
        <f t="shared" si="3"/>
        <v>3600</v>
      </c>
      <c r="K13" s="3">
        <f t="shared" si="4"/>
        <v>1806250000</v>
      </c>
      <c r="P13">
        <f>P9*P11</f>
        <v>28477475200000</v>
      </c>
    </row>
    <row r="14" spans="1:16" x14ac:dyDescent="0.35">
      <c r="A14" s="3" t="s">
        <v>12</v>
      </c>
      <c r="B14" s="3">
        <v>50</v>
      </c>
      <c r="C14" s="3">
        <v>37500</v>
      </c>
      <c r="F14" s="3" t="s">
        <v>12</v>
      </c>
      <c r="G14" s="3">
        <f t="shared" si="0"/>
        <v>50</v>
      </c>
      <c r="H14" s="3">
        <f t="shared" si="1"/>
        <v>37500</v>
      </c>
      <c r="I14" s="3">
        <f t="shared" si="2"/>
        <v>1875000</v>
      </c>
      <c r="J14" s="3">
        <f t="shared" si="3"/>
        <v>2500</v>
      </c>
      <c r="K14" s="3">
        <f t="shared" si="4"/>
        <v>1406250000</v>
      </c>
      <c r="P14">
        <f>SQRT(P13)</f>
        <v>5336429.0682065664</v>
      </c>
    </row>
    <row r="15" spans="1:16" x14ac:dyDescent="0.35">
      <c r="A15" s="3" t="s">
        <v>13</v>
      </c>
      <c r="B15" s="3">
        <v>45</v>
      </c>
      <c r="C15" s="3">
        <v>40000</v>
      </c>
      <c r="F15" s="3" t="s">
        <v>13</v>
      </c>
      <c r="G15" s="3">
        <f t="shared" si="0"/>
        <v>45</v>
      </c>
      <c r="H15" s="3">
        <f t="shared" si="1"/>
        <v>40000</v>
      </c>
      <c r="I15" s="3">
        <f t="shared" si="2"/>
        <v>1800000</v>
      </c>
      <c r="J15" s="3">
        <f t="shared" si="3"/>
        <v>2025</v>
      </c>
      <c r="K15" s="3">
        <f t="shared" si="4"/>
        <v>1600000000</v>
      </c>
    </row>
    <row r="16" spans="1:16" x14ac:dyDescent="0.35">
      <c r="A16" s="3" t="s">
        <v>14</v>
      </c>
      <c r="B16" s="3">
        <v>35</v>
      </c>
      <c r="C16" s="3">
        <v>32000</v>
      </c>
      <c r="F16" s="3" t="s">
        <v>14</v>
      </c>
      <c r="G16" s="3">
        <f t="shared" si="0"/>
        <v>35</v>
      </c>
      <c r="H16" s="3">
        <f t="shared" si="1"/>
        <v>32000</v>
      </c>
      <c r="I16" s="3">
        <f t="shared" si="2"/>
        <v>1120000</v>
      </c>
      <c r="J16" s="3">
        <f t="shared" si="3"/>
        <v>1225</v>
      </c>
      <c r="K16" s="3">
        <f t="shared" si="4"/>
        <v>1024000000</v>
      </c>
    </row>
    <row r="17" spans="1:11" x14ac:dyDescent="0.35">
      <c r="A17" s="3" t="s">
        <v>15</v>
      </c>
      <c r="B17" s="3">
        <v>55</v>
      </c>
      <c r="C17" s="3">
        <v>41500</v>
      </c>
      <c r="F17" s="3" t="s">
        <v>15</v>
      </c>
      <c r="G17" s="3">
        <f t="shared" si="0"/>
        <v>55</v>
      </c>
      <c r="H17" s="3">
        <f t="shared" si="1"/>
        <v>41500</v>
      </c>
      <c r="I17" s="3">
        <f t="shared" si="2"/>
        <v>2282500</v>
      </c>
      <c r="J17" s="3">
        <f t="shared" si="3"/>
        <v>3025</v>
      </c>
      <c r="K17" s="3">
        <f t="shared" si="4"/>
        <v>1722250000</v>
      </c>
    </row>
    <row r="18" spans="1:11" x14ac:dyDescent="0.35">
      <c r="A18" s="3" t="s">
        <v>16</v>
      </c>
      <c r="B18" s="3">
        <v>65</v>
      </c>
      <c r="C18" s="3">
        <v>42500</v>
      </c>
      <c r="F18" s="3" t="s">
        <v>16</v>
      </c>
      <c r="G18" s="3">
        <f t="shared" si="0"/>
        <v>65</v>
      </c>
      <c r="H18" s="3">
        <f t="shared" si="1"/>
        <v>42500</v>
      </c>
      <c r="I18" s="3">
        <f t="shared" si="2"/>
        <v>2762500</v>
      </c>
      <c r="J18" s="3">
        <f t="shared" si="3"/>
        <v>4225</v>
      </c>
      <c r="K18" s="3">
        <f t="shared" si="4"/>
        <v>1806250000</v>
      </c>
    </row>
    <row r="19" spans="1:11" x14ac:dyDescent="0.35">
      <c r="A19" s="3" t="s">
        <v>17</v>
      </c>
      <c r="B19" s="3">
        <v>60</v>
      </c>
      <c r="C19" s="3">
        <v>43000</v>
      </c>
      <c r="F19" s="3" t="s">
        <v>17</v>
      </c>
      <c r="G19" s="3">
        <f t="shared" si="0"/>
        <v>60</v>
      </c>
      <c r="H19" s="3">
        <f t="shared" si="1"/>
        <v>43000</v>
      </c>
      <c r="I19" s="3">
        <f t="shared" si="2"/>
        <v>2580000</v>
      </c>
      <c r="J19" s="3">
        <f t="shared" si="3"/>
        <v>3600</v>
      </c>
      <c r="K19" s="3">
        <f t="shared" si="4"/>
        <v>1849000000</v>
      </c>
    </row>
    <row r="20" spans="1:11" x14ac:dyDescent="0.35">
      <c r="F20" s="4" t="s">
        <v>22</v>
      </c>
      <c r="G20" s="3">
        <f>SUM(G8:G19)</f>
        <v>640</v>
      </c>
      <c r="H20" s="3">
        <f>SUM(H8:H19)</f>
        <v>471280</v>
      </c>
      <c r="I20" s="3">
        <f>SUM(I8:I19)</f>
        <v>25525500</v>
      </c>
      <c r="J20" s="3">
        <f>SUM(J8:J19)</f>
        <v>35350</v>
      </c>
      <c r="K20" s="3">
        <f>SUM(K8:K19)</f>
        <v>18671279200</v>
      </c>
    </row>
    <row r="21" spans="1:11" x14ac:dyDescent="0.35">
      <c r="A21" s="1" t="s">
        <v>23</v>
      </c>
    </row>
    <row r="22" spans="1:11" x14ac:dyDescent="0.35">
      <c r="A22" t="s">
        <v>24</v>
      </c>
      <c r="F22" t="s">
        <v>28</v>
      </c>
    </row>
    <row r="23" spans="1:11" x14ac:dyDescent="0.35">
      <c r="A23" t="s">
        <v>25</v>
      </c>
    </row>
    <row r="24" spans="1:11" x14ac:dyDescent="0.35">
      <c r="A24" t="s">
        <v>26</v>
      </c>
      <c r="J24" s="5" t="s">
        <v>29</v>
      </c>
      <c r="K24" s="6">
        <f>P7/P14</f>
        <v>0.87826521070486374</v>
      </c>
    </row>
    <row r="25" spans="1:11" x14ac:dyDescent="0.35">
      <c r="A25" t="s">
        <v>27</v>
      </c>
    </row>
    <row r="28" spans="1:11" x14ac:dyDescent="0.35">
      <c r="A28" t="s">
        <v>34</v>
      </c>
      <c r="B28" s="7">
        <f>(K24^2)*100%</f>
        <v>0.77134978033445867</v>
      </c>
    </row>
    <row r="30" spans="1:11" x14ac:dyDescent="0.35">
      <c r="A30" t="s">
        <v>40</v>
      </c>
      <c r="B30" s="8">
        <f>K24*E31/E33</f>
        <v>5.8081773465498969</v>
      </c>
      <c r="D30" t="s">
        <v>36</v>
      </c>
      <c r="E30">
        <f>P5-2</f>
        <v>10</v>
      </c>
    </row>
    <row r="31" spans="1:11" x14ac:dyDescent="0.35">
      <c r="D31" t="s">
        <v>37</v>
      </c>
      <c r="E31">
        <f>SQRT(E30)</f>
        <v>3.1622776601683795</v>
      </c>
    </row>
    <row r="32" spans="1:11" x14ac:dyDescent="0.35">
      <c r="D32" t="s">
        <v>39</v>
      </c>
      <c r="E32" s="6">
        <f>1-(K24^2)</f>
        <v>0.22865021966554133</v>
      </c>
    </row>
    <row r="33" spans="1:5" x14ac:dyDescent="0.35">
      <c r="A33" t="s">
        <v>41</v>
      </c>
      <c r="B33">
        <f>2.2281</f>
        <v>2.2281</v>
      </c>
      <c r="D33" t="s">
        <v>38</v>
      </c>
      <c r="E33">
        <f>SQRT(E32)</f>
        <v>0.47817383833240118</v>
      </c>
    </row>
    <row r="35" spans="1:5" x14ac:dyDescent="0.35">
      <c r="A35" t="s">
        <v>42</v>
      </c>
      <c r="B35" s="8">
        <f>B30</f>
        <v>5.8081773465498969</v>
      </c>
      <c r="C35" t="s">
        <v>43</v>
      </c>
      <c r="D35">
        <f>B33</f>
        <v>2.2281</v>
      </c>
      <c r="E35" t="s">
        <v>44</v>
      </c>
    </row>
    <row r="37" spans="1:5" x14ac:dyDescent="0.35">
      <c r="A37" t="s">
        <v>45</v>
      </c>
    </row>
    <row r="38" spans="1:5" x14ac:dyDescent="0.35">
      <c r="A38" t="s">
        <v>46</v>
      </c>
    </row>
    <row r="39" spans="1:5" x14ac:dyDescent="0.35">
      <c r="A39" t="s">
        <v>47</v>
      </c>
    </row>
    <row r="40" spans="1:5" x14ac:dyDescent="0.35">
      <c r="A40" t="s">
        <v>48</v>
      </c>
    </row>
    <row r="41" spans="1:5" x14ac:dyDescent="0.35">
      <c r="A41" t="s">
        <v>49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rahmat 687</cp:lastModifiedBy>
  <dcterms:created xsi:type="dcterms:W3CDTF">2022-05-11T05:38:10Z</dcterms:created>
  <dcterms:modified xsi:type="dcterms:W3CDTF">2024-05-06T04:14:48Z</dcterms:modified>
</cp:coreProperties>
</file>