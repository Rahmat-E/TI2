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2690a36f3f0548/Desktop/statistics/"/>
    </mc:Choice>
  </mc:AlternateContent>
  <xr:revisionPtr revIDLastSave="2" documentId="13_ncr:1_{C8E58969-DACE-4DB3-A245-7C610326EB95}" xr6:coauthVersionLast="47" xr6:coauthVersionMax="47" xr10:uidLastSave="{32E902A6-5C42-4F1D-86CB-46F22B0F1E37}"/>
  <bookViews>
    <workbookView minimized="1" xWindow="4550" yWindow="1970" windowWidth="14400" windowHeight="7270" xr2:uid="{0D601965-FB56-43CA-B65C-C24CC158C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1" l="1"/>
  <c r="L2" i="1"/>
  <c r="P10" i="1"/>
  <c r="K3" i="1"/>
  <c r="K4" i="1"/>
  <c r="K5" i="1"/>
  <c r="K6" i="1"/>
  <c r="K7" i="1"/>
  <c r="K8" i="1"/>
  <c r="K2" i="1"/>
  <c r="K9" i="1" s="1"/>
  <c r="P24" i="1"/>
  <c r="P23" i="1"/>
  <c r="P21" i="1"/>
  <c r="J8" i="1"/>
  <c r="J2" i="1"/>
  <c r="I3" i="1"/>
  <c r="J3" i="1" s="1"/>
  <c r="I5" i="1"/>
  <c r="J5" i="1" s="1"/>
  <c r="I6" i="1"/>
  <c r="J6" i="1" s="1"/>
  <c r="I7" i="1"/>
  <c r="J7" i="1" s="1"/>
  <c r="I8" i="1"/>
  <c r="I2" i="1"/>
  <c r="G2" i="1"/>
  <c r="G3" i="1" s="1"/>
  <c r="G4" i="1" s="1"/>
  <c r="G5" i="1" s="1"/>
  <c r="G6" i="1" s="1"/>
  <c r="G7" i="1" s="1"/>
  <c r="G8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2" i="1"/>
  <c r="F2" i="1" s="1"/>
  <c r="D9" i="1"/>
  <c r="F9" i="1" l="1"/>
  <c r="P8" i="1" s="1"/>
  <c r="H4" i="1" l="1"/>
  <c r="I4" i="1" s="1"/>
  <c r="J4" i="1" s="1"/>
  <c r="J9" i="1" s="1"/>
  <c r="P12" i="1" s="1"/>
  <c r="P11" i="1" l="1"/>
</calcChain>
</file>

<file path=xl/sharedStrings.xml><?xml version="1.0" encoding="utf-8"?>
<sst xmlns="http://schemas.openxmlformats.org/spreadsheetml/2006/main" count="51" uniqueCount="35">
  <si>
    <t xml:space="preserve">Nilai </t>
  </si>
  <si>
    <t>Fi</t>
  </si>
  <si>
    <t>xi</t>
  </si>
  <si>
    <t>fi.xi</t>
  </si>
  <si>
    <t>total</t>
  </si>
  <si>
    <t>-</t>
  </si>
  <si>
    <t>CF</t>
  </si>
  <si>
    <t>1. Buat tabel distribusi frekuensi</t>
  </si>
  <si>
    <t>2. Hitung mean (rata-rata) dari data</t>
  </si>
  <si>
    <t>3. Hitung modus dari data</t>
  </si>
  <si>
    <t>4. Hitung standar deviasi dari data</t>
  </si>
  <si>
    <t>5. Hitung koefisien kemiringan</t>
  </si>
  <si>
    <t>Mean</t>
  </si>
  <si>
    <t>2.</t>
  </si>
  <si>
    <t>modus</t>
  </si>
  <si>
    <t>3.</t>
  </si>
  <si>
    <t>Standar dev</t>
  </si>
  <si>
    <t>Menghitung koefisien kemiringan dengan Model Karl Pearson I:</t>
  </si>
  <si>
    <t>Koefisiensi Kemiringan</t>
  </si>
  <si>
    <t>1.</t>
  </si>
  <si>
    <t>4.</t>
  </si>
  <si>
    <t>26,5 &amp; 34,5</t>
  </si>
  <si>
    <t>|x-mean|</t>
  </si>
  <si>
    <t>|x-mean|^2</t>
  </si>
  <si>
    <t>F|x-mean|^2</t>
  </si>
  <si>
    <t>Koefisiensi Kemiringan(26,5)</t>
  </si>
  <si>
    <t>5.</t>
  </si>
  <si>
    <t>Koefisiensi Kemiringan(34,5)</t>
  </si>
  <si>
    <t>Menghitung koefisien kemiringan dengan Model Karl Pearson II:</t>
  </si>
  <si>
    <t>3. Hitung median dari data</t>
  </si>
  <si>
    <t>median</t>
  </si>
  <si>
    <t>Hitung juga koefisien kelancipan dari data tersebut</t>
  </si>
  <si>
    <t>koefisiensi kelancipan</t>
  </si>
  <si>
    <t>fi| x-mean|^4</t>
  </si>
  <si>
    <t>standar dev^4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</si>
</sst>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FEED-407C-4757-BF45-4EF04F53295B}">
  <dimension ref="A1:P28"/>
  <sheetViews>
    <sheetView tabSelected="1" zoomScale="58" zoomScaleNormal="104" workbookViewId="0">
      <selection activeCell="E5" sqref="E5"/>
    </sheetView>
  </sheetViews>
  <sheetFormatPr defaultRowHeight="14.5" x14ac:dyDescent="0.35"/>
  <cols>
    <col min="1" max="1" width="6.26953125" customWidth="1"/>
    <col min="2" max="2" width="3.26953125" customWidth="1"/>
    <col min="3" max="3" width="6.08984375" customWidth="1"/>
    <col min="9" max="9" width="12.54296875" customWidth="1"/>
    <col min="10" max="10" width="16.54296875" customWidth="1"/>
    <col min="11" max="11" width="14.6328125" customWidth="1"/>
    <col min="12" max="12" width="15.54296875" customWidth="1"/>
    <col min="13" max="13" width="1.6328125" customWidth="1"/>
    <col min="15" max="15" width="25" customWidth="1"/>
    <col min="16" max="16" width="12.81640625" customWidth="1"/>
  </cols>
  <sheetData>
    <row r="1" spans="1:16" x14ac:dyDescent="0.3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6</v>
      </c>
      <c r="H1" s="1" t="s">
        <v>22</v>
      </c>
      <c r="I1" s="1" t="s">
        <v>23</v>
      </c>
      <c r="J1" s="1" t="s">
        <v>24</v>
      </c>
      <c r="K1" s="1" t="s">
        <v>33</v>
      </c>
      <c r="L1" s="1" t="s">
        <v>34</v>
      </c>
      <c r="N1" t="s">
        <v>17</v>
      </c>
    </row>
    <row r="2" spans="1:16" x14ac:dyDescent="0.35">
      <c r="A2" s="2">
        <v>23</v>
      </c>
      <c r="B2" s="2" t="s">
        <v>5</v>
      </c>
      <c r="C2" s="2">
        <v>30</v>
      </c>
      <c r="D2" s="2">
        <v>12</v>
      </c>
      <c r="E2" s="2">
        <f>(A2+C2)/2</f>
        <v>26.5</v>
      </c>
      <c r="F2" s="2">
        <f>D2*E2</f>
        <v>318</v>
      </c>
      <c r="G2" s="2">
        <f>D2</f>
        <v>12</v>
      </c>
      <c r="H2" s="2">
        <v>14.88</v>
      </c>
      <c r="I2" s="2">
        <f>H2*H2</f>
        <v>221.41440000000003</v>
      </c>
      <c r="J2" s="2">
        <f>I2*D2</f>
        <v>2656.9728000000005</v>
      </c>
      <c r="K2" s="2">
        <f>(H2*H2*H2*H2)*F2</f>
        <v>15589739.015700482</v>
      </c>
      <c r="L2" s="2">
        <f>P10*P10*P10*P10</f>
        <v>22820.815503360001</v>
      </c>
      <c r="N2" t="s">
        <v>7</v>
      </c>
    </row>
    <row r="3" spans="1:16" x14ac:dyDescent="0.35">
      <c r="A3" s="2">
        <v>31</v>
      </c>
      <c r="B3" s="2" t="s">
        <v>5</v>
      </c>
      <c r="C3" s="2">
        <v>38</v>
      </c>
      <c r="D3" s="2">
        <v>12</v>
      </c>
      <c r="E3" s="2">
        <f t="shared" ref="E3:E8" si="0">(A3+C3)/2</f>
        <v>34.5</v>
      </c>
      <c r="F3" s="2">
        <f t="shared" ref="F3:F8" si="1">D3*E3</f>
        <v>414</v>
      </c>
      <c r="G3" s="2">
        <f>G2+D3</f>
        <v>24</v>
      </c>
      <c r="H3" s="2">
        <v>6.88</v>
      </c>
      <c r="I3" s="2">
        <f t="shared" ref="I3:I8" si="2">H3*H3</f>
        <v>47.334399999999995</v>
      </c>
      <c r="J3" s="2">
        <f t="shared" ref="J3:J8" si="3">I3*D3</f>
        <v>568.01279999999997</v>
      </c>
      <c r="K3" s="2">
        <f t="shared" ref="K3:K8" si="4">(H3*H3*H3*H3)*F3</f>
        <v>927585.80527103995</v>
      </c>
      <c r="L3" s="2"/>
      <c r="N3" t="s">
        <v>8</v>
      </c>
    </row>
    <row r="4" spans="1:16" x14ac:dyDescent="0.35">
      <c r="A4" s="2">
        <v>39</v>
      </c>
      <c r="B4" s="2" t="s">
        <v>5</v>
      </c>
      <c r="C4" s="2">
        <v>46</v>
      </c>
      <c r="D4" s="2">
        <v>8</v>
      </c>
      <c r="E4" s="2">
        <f t="shared" si="0"/>
        <v>42.5</v>
      </c>
      <c r="F4" s="2">
        <f t="shared" si="1"/>
        <v>340</v>
      </c>
      <c r="G4" s="2">
        <f t="shared" ref="G4:G8" si="5">G3+D4</f>
        <v>32</v>
      </c>
      <c r="H4" s="2">
        <f>E4-P8</f>
        <v>1.1199999999999974</v>
      </c>
      <c r="I4" s="2">
        <f t="shared" si="2"/>
        <v>1.2543999999999942</v>
      </c>
      <c r="J4" s="2">
        <f t="shared" si="3"/>
        <v>10.035199999999953</v>
      </c>
      <c r="K4" s="2">
        <f t="shared" si="4"/>
        <v>534.99658239999508</v>
      </c>
      <c r="L4" s="2"/>
      <c r="N4" t="s">
        <v>9</v>
      </c>
    </row>
    <row r="5" spans="1:16" x14ac:dyDescent="0.35">
      <c r="A5" s="2">
        <v>47</v>
      </c>
      <c r="B5" s="2" t="s">
        <v>5</v>
      </c>
      <c r="C5" s="2">
        <v>54</v>
      </c>
      <c r="D5" s="2">
        <v>10</v>
      </c>
      <c r="E5" s="2">
        <f t="shared" si="0"/>
        <v>50.5</v>
      </c>
      <c r="F5" s="2">
        <f t="shared" si="1"/>
        <v>505</v>
      </c>
      <c r="G5" s="2">
        <f t="shared" si="5"/>
        <v>42</v>
      </c>
      <c r="H5" s="2">
        <v>9.1199999999999992</v>
      </c>
      <c r="I5" s="2">
        <f t="shared" si="2"/>
        <v>83.174399999999991</v>
      </c>
      <c r="J5" s="2">
        <f t="shared" si="3"/>
        <v>831.74399999999991</v>
      </c>
      <c r="K5" s="2">
        <f t="shared" si="4"/>
        <v>3493580.311756799</v>
      </c>
      <c r="L5" s="2"/>
      <c r="N5" t="s">
        <v>10</v>
      </c>
    </row>
    <row r="6" spans="1:16" x14ac:dyDescent="0.35">
      <c r="A6" s="2">
        <v>55</v>
      </c>
      <c r="B6" s="2" t="s">
        <v>5</v>
      </c>
      <c r="C6" s="2">
        <v>62</v>
      </c>
      <c r="D6" s="2">
        <v>6</v>
      </c>
      <c r="E6" s="2">
        <f t="shared" si="0"/>
        <v>58.5</v>
      </c>
      <c r="F6" s="2">
        <f t="shared" si="1"/>
        <v>351</v>
      </c>
      <c r="G6" s="2">
        <f t="shared" si="5"/>
        <v>48</v>
      </c>
      <c r="H6" s="2">
        <v>17.12</v>
      </c>
      <c r="I6" s="2">
        <f t="shared" si="2"/>
        <v>293.09440000000001</v>
      </c>
      <c r="J6" s="2">
        <f t="shared" si="3"/>
        <v>1758.5664000000002</v>
      </c>
      <c r="K6" s="2">
        <f t="shared" si="4"/>
        <v>30152418.886287365</v>
      </c>
      <c r="L6" s="2"/>
      <c r="N6" t="s">
        <v>11</v>
      </c>
    </row>
    <row r="7" spans="1:16" x14ac:dyDescent="0.35">
      <c r="A7" s="2">
        <v>63</v>
      </c>
      <c r="B7" s="2" t="s">
        <v>5</v>
      </c>
      <c r="C7" s="2">
        <v>70</v>
      </c>
      <c r="D7" s="2">
        <v>1</v>
      </c>
      <c r="E7" s="2">
        <f t="shared" si="0"/>
        <v>66.5</v>
      </c>
      <c r="F7" s="2">
        <f t="shared" si="1"/>
        <v>66.5</v>
      </c>
      <c r="G7" s="2">
        <f t="shared" si="5"/>
        <v>49</v>
      </c>
      <c r="H7" s="2">
        <v>25.12</v>
      </c>
      <c r="I7" s="2">
        <f t="shared" si="2"/>
        <v>631.01440000000002</v>
      </c>
      <c r="J7" s="2">
        <f t="shared" si="3"/>
        <v>631.01440000000002</v>
      </c>
      <c r="K7" s="2">
        <f t="shared" si="4"/>
        <v>26478915.004989441</v>
      </c>
      <c r="L7" s="2"/>
    </row>
    <row r="8" spans="1:16" x14ac:dyDescent="0.35">
      <c r="A8" s="2">
        <v>71</v>
      </c>
      <c r="B8" s="2" t="s">
        <v>5</v>
      </c>
      <c r="C8" s="2">
        <v>78</v>
      </c>
      <c r="D8" s="2">
        <v>1</v>
      </c>
      <c r="E8" s="2">
        <f t="shared" si="0"/>
        <v>74.5</v>
      </c>
      <c r="F8" s="2">
        <f t="shared" si="1"/>
        <v>74.5</v>
      </c>
      <c r="G8" s="2">
        <f t="shared" si="5"/>
        <v>50</v>
      </c>
      <c r="H8" s="2">
        <v>33.119999999999997</v>
      </c>
      <c r="I8" s="2">
        <f t="shared" si="2"/>
        <v>1096.9343999999999</v>
      </c>
      <c r="J8" s="2">
        <f t="shared" si="3"/>
        <v>1096.9343999999999</v>
      </c>
      <c r="K8" s="2">
        <f t="shared" si="4"/>
        <v>89643248.3038003</v>
      </c>
      <c r="L8" s="2"/>
      <c r="N8" s="2" t="s">
        <v>19</v>
      </c>
      <c r="O8" s="1" t="s">
        <v>12</v>
      </c>
      <c r="P8" s="2">
        <f>F9/D9</f>
        <v>41.38</v>
      </c>
    </row>
    <row r="9" spans="1:16" x14ac:dyDescent="0.35">
      <c r="A9" s="2" t="s">
        <v>4</v>
      </c>
      <c r="B9" s="2"/>
      <c r="C9" s="2"/>
      <c r="D9" s="2">
        <f>SUM(D2:D8)</f>
        <v>50</v>
      </c>
      <c r="E9" s="2"/>
      <c r="F9" s="2">
        <f>SUM(F2:F8)</f>
        <v>2069</v>
      </c>
      <c r="G9" s="2"/>
      <c r="H9" s="2"/>
      <c r="I9" s="2"/>
      <c r="J9" s="2">
        <f>SUM(J2:J8)</f>
        <v>7553.2800000000007</v>
      </c>
      <c r="K9" s="2">
        <f>SUM(K2:K8)</f>
        <v>166286022.32438785</v>
      </c>
      <c r="L9" s="2"/>
      <c r="N9" s="2" t="s">
        <v>13</v>
      </c>
      <c r="O9" s="1" t="s">
        <v>14</v>
      </c>
      <c r="P9" s="2" t="s">
        <v>21</v>
      </c>
    </row>
    <row r="10" spans="1:16" x14ac:dyDescent="0.35">
      <c r="N10" s="2" t="s">
        <v>15</v>
      </c>
      <c r="O10" s="1" t="s">
        <v>16</v>
      </c>
      <c r="P10" s="2">
        <f>SQRT(J9/D9)</f>
        <v>12.290874663749525</v>
      </c>
    </row>
    <row r="11" spans="1:16" x14ac:dyDescent="0.35">
      <c r="N11" s="2" t="s">
        <v>20</v>
      </c>
      <c r="O11" s="1" t="s">
        <v>25</v>
      </c>
      <c r="P11" s="2">
        <f>3*(P8-26.5)/P10</f>
        <v>3.6319628359453038</v>
      </c>
    </row>
    <row r="12" spans="1:16" x14ac:dyDescent="0.35">
      <c r="N12" s="2" t="s">
        <v>26</v>
      </c>
      <c r="O12" s="1" t="s">
        <v>27</v>
      </c>
      <c r="P12" s="2">
        <f>3*(P8-34.5)/P10</f>
        <v>1.6792946445768613</v>
      </c>
    </row>
    <row r="14" spans="1:16" x14ac:dyDescent="0.35">
      <c r="N14" t="s">
        <v>28</v>
      </c>
    </row>
    <row r="15" spans="1:16" x14ac:dyDescent="0.35">
      <c r="N15" t="s">
        <v>7</v>
      </c>
    </row>
    <row r="16" spans="1:16" x14ac:dyDescent="0.35">
      <c r="N16" t="s">
        <v>8</v>
      </c>
    </row>
    <row r="17" spans="14:16" x14ac:dyDescent="0.35">
      <c r="N17" t="s">
        <v>29</v>
      </c>
    </row>
    <row r="18" spans="14:16" x14ac:dyDescent="0.35">
      <c r="N18" t="s">
        <v>10</v>
      </c>
    </row>
    <row r="19" spans="14:16" x14ac:dyDescent="0.35">
      <c r="N19" t="s">
        <v>11</v>
      </c>
    </row>
    <row r="21" spans="14:16" x14ac:dyDescent="0.35">
      <c r="N21" s="2" t="s">
        <v>19</v>
      </c>
      <c r="O21" s="1" t="s">
        <v>12</v>
      </c>
      <c r="P21" s="2">
        <f>F9/D9</f>
        <v>41.38</v>
      </c>
    </row>
    <row r="22" spans="14:16" x14ac:dyDescent="0.35">
      <c r="N22" s="2" t="s">
        <v>13</v>
      </c>
      <c r="O22" s="1" t="s">
        <v>30</v>
      </c>
      <c r="P22" s="2">
        <v>40</v>
      </c>
    </row>
    <row r="23" spans="14:16" x14ac:dyDescent="0.35">
      <c r="N23" s="2" t="s">
        <v>15</v>
      </c>
      <c r="O23" s="1" t="s">
        <v>16</v>
      </c>
      <c r="P23" s="2">
        <f>SQRT(J9/D9)</f>
        <v>12.290874663749525</v>
      </c>
    </row>
    <row r="24" spans="14:16" x14ac:dyDescent="0.35">
      <c r="N24" s="2" t="s">
        <v>20</v>
      </c>
      <c r="O24" s="1" t="s">
        <v>18</v>
      </c>
      <c r="P24" s="2">
        <f>3*(P21-P22)/P23</f>
        <v>0.33683526301105698</v>
      </c>
    </row>
    <row r="26" spans="14:16" x14ac:dyDescent="0.35">
      <c r="N26" t="s">
        <v>31</v>
      </c>
    </row>
    <row r="28" spans="14:16" x14ac:dyDescent="0.35">
      <c r="O28" s="3" t="s">
        <v>32</v>
      </c>
      <c r="P28" s="3">
        <f>((1/D9)*K9)/L2</f>
        <v>145.73188438415349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687</dc:creator>
  <cp:lastModifiedBy>rahmat 687</cp:lastModifiedBy>
  <dcterms:created xsi:type="dcterms:W3CDTF">2024-03-18T01:52:51Z</dcterms:created>
  <dcterms:modified xsi:type="dcterms:W3CDTF">2024-03-24T09:36:24Z</dcterms:modified>
</cp:coreProperties>
</file>