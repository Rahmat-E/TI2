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687e\Downloads\"/>
    </mc:Choice>
  </mc:AlternateContent>
  <xr:revisionPtr revIDLastSave="0" documentId="13_ncr:1_{90267FA2-038F-4E14-AF89-44983C8727B9}" xr6:coauthVersionLast="47" xr6:coauthVersionMax="47" xr10:uidLastSave="{00000000-0000-0000-0000-000000000000}"/>
  <bookViews>
    <workbookView xWindow="-90" yWindow="0" windowWidth="9780" windowHeight="10170" xr2:uid="{DC718CA3-949A-45E2-8301-61FC99E7C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1" l="1"/>
  <c r="E65" i="1"/>
  <c r="C65" i="1"/>
  <c r="I44" i="1" l="1"/>
  <c r="I39" i="1"/>
  <c r="C59" i="1"/>
  <c r="P50" i="1"/>
  <c r="E54" i="1"/>
  <c r="C49" i="1"/>
  <c r="E39" i="1"/>
  <c r="L23" i="1"/>
  <c r="M23" i="1"/>
  <c r="M22" i="1"/>
  <c r="L22" i="1"/>
  <c r="M18" i="1"/>
  <c r="L18" i="1"/>
  <c r="K22" i="1"/>
  <c r="K23" i="1" s="1"/>
  <c r="L17" i="1"/>
  <c r="M17" i="1"/>
  <c r="K17" i="1"/>
  <c r="M6" i="1"/>
  <c r="M7" i="1"/>
  <c r="M8" i="1"/>
  <c r="M9" i="1"/>
  <c r="M10" i="1"/>
  <c r="M11" i="1"/>
  <c r="M12" i="1"/>
  <c r="M13" i="1"/>
  <c r="M14" i="1"/>
  <c r="M15" i="1"/>
  <c r="M16" i="1"/>
  <c r="M5" i="1"/>
  <c r="L6" i="1"/>
  <c r="L7" i="1"/>
  <c r="L8" i="1"/>
  <c r="L9" i="1"/>
  <c r="L10" i="1"/>
  <c r="L11" i="1"/>
  <c r="L12" i="1"/>
  <c r="L13" i="1"/>
  <c r="L14" i="1"/>
  <c r="L15" i="1"/>
  <c r="L16" i="1"/>
  <c r="L5" i="1"/>
  <c r="K6" i="1"/>
  <c r="K7" i="1"/>
  <c r="K8" i="1"/>
  <c r="K9" i="1"/>
  <c r="K10" i="1"/>
  <c r="K11" i="1"/>
  <c r="K12" i="1"/>
  <c r="K13" i="1"/>
  <c r="K14" i="1"/>
  <c r="K15" i="1"/>
  <c r="K5" i="1"/>
  <c r="N20" i="1"/>
  <c r="N19" i="1"/>
  <c r="N21" i="1" s="1"/>
  <c r="N18" i="1"/>
  <c r="N17" i="1"/>
  <c r="J17" i="1"/>
  <c r="I17" i="1"/>
  <c r="H17" i="1"/>
  <c r="J6" i="1"/>
  <c r="J7" i="1"/>
  <c r="J8" i="1"/>
  <c r="J9" i="1"/>
  <c r="J10" i="1"/>
  <c r="J11" i="1"/>
  <c r="J12" i="1"/>
  <c r="J13" i="1"/>
  <c r="J14" i="1"/>
  <c r="J15" i="1"/>
  <c r="J16" i="1"/>
  <c r="J5" i="1"/>
  <c r="I6" i="1"/>
  <c r="I7" i="1"/>
  <c r="I8" i="1"/>
  <c r="I9" i="1"/>
  <c r="I10" i="1"/>
  <c r="I11" i="1"/>
  <c r="I12" i="1"/>
  <c r="I13" i="1"/>
  <c r="I14" i="1"/>
  <c r="I15" i="1"/>
  <c r="I16" i="1"/>
  <c r="I5" i="1"/>
  <c r="H6" i="1"/>
  <c r="H7" i="1"/>
  <c r="H8" i="1"/>
  <c r="H9" i="1"/>
  <c r="H10" i="1"/>
  <c r="H11" i="1"/>
  <c r="H12" i="1"/>
  <c r="H13" i="1"/>
  <c r="H14" i="1"/>
  <c r="H15" i="1"/>
  <c r="H5" i="1"/>
  <c r="D18" i="1"/>
  <c r="D20" i="1" s="1"/>
  <c r="C18" i="1"/>
  <c r="C20" i="1" s="1"/>
  <c r="B18" i="1"/>
  <c r="B19" i="1" s="1"/>
  <c r="G6" i="1"/>
  <c r="G7" i="1"/>
  <c r="G8" i="1"/>
  <c r="G9" i="1"/>
  <c r="G10" i="1"/>
  <c r="G11" i="1"/>
  <c r="G12" i="1"/>
  <c r="G13" i="1"/>
  <c r="G14" i="1"/>
  <c r="G15" i="1"/>
  <c r="G16" i="1"/>
  <c r="G5" i="1"/>
  <c r="F6" i="1"/>
  <c r="F7" i="1"/>
  <c r="F8" i="1"/>
  <c r="F9" i="1"/>
  <c r="F10" i="1"/>
  <c r="F11" i="1"/>
  <c r="F12" i="1"/>
  <c r="F13" i="1"/>
  <c r="F14" i="1"/>
  <c r="F15" i="1"/>
  <c r="F16" i="1"/>
  <c r="F5" i="1"/>
  <c r="E6" i="1"/>
  <c r="E7" i="1"/>
  <c r="E8" i="1"/>
  <c r="E9" i="1"/>
  <c r="E10" i="1"/>
  <c r="E11" i="1"/>
  <c r="E12" i="1"/>
  <c r="E13" i="1"/>
  <c r="E14" i="1"/>
  <c r="E15" i="1"/>
  <c r="E5" i="1"/>
  <c r="D17" i="1"/>
  <c r="C17" i="1"/>
  <c r="B17" i="1"/>
  <c r="E17" i="1" l="1"/>
  <c r="E18" i="1"/>
  <c r="F17" i="1"/>
  <c r="G17" i="1"/>
  <c r="F18" i="1"/>
  <c r="F20" i="1" s="1"/>
  <c r="G18" i="1"/>
  <c r="G20" i="1" s="1"/>
  <c r="B21" i="1"/>
  <c r="D19" i="1"/>
  <c r="D21" i="1" s="1"/>
  <c r="C19" i="1"/>
  <c r="C21" i="1" s="1"/>
  <c r="B20" i="1"/>
  <c r="E20" i="1"/>
  <c r="E19" i="1"/>
  <c r="E21" i="1" s="1"/>
  <c r="G19" i="1" l="1"/>
  <c r="G21" i="1" s="1"/>
  <c r="F19" i="1"/>
  <c r="F21" i="1" s="1"/>
  <c r="P51" i="1"/>
  <c r="P52" i="1" s="1"/>
  <c r="O50" i="1" l="1"/>
  <c r="O51" i="1"/>
  <c r="Q51" i="1"/>
  <c r="O52" i="1" l="1"/>
  <c r="R50" i="1"/>
  <c r="Q50" i="1"/>
</calcChain>
</file>

<file path=xl/sharedStrings.xml><?xml version="1.0" encoding="utf-8"?>
<sst xmlns="http://schemas.openxmlformats.org/spreadsheetml/2006/main" count="71" uniqueCount="53">
  <si>
    <t>No</t>
  </si>
  <si>
    <t>A1</t>
  </si>
  <si>
    <t>A2</t>
  </si>
  <si>
    <t>A3</t>
  </si>
  <si>
    <t>NILAI UTS</t>
  </si>
  <si>
    <t>Varians</t>
  </si>
  <si>
    <t>x-((∑x)/n)</t>
  </si>
  <si>
    <t>Hipotesis:</t>
  </si>
  <si>
    <t>Ha</t>
  </si>
  <si>
    <t>Ho</t>
  </si>
  <si>
    <t>Buktikan apakah ada perbedaan hasil belajar antara ketiganya!</t>
  </si>
  <si>
    <t>Hipotesis dalam bentuk statistik:</t>
  </si>
  <si>
    <r>
      <t xml:space="preserve">A1 </t>
    </r>
    <r>
      <rPr>
        <sz val="11"/>
        <color theme="1"/>
        <rFont val="Calibri"/>
        <family val="2"/>
      </rPr>
      <t>≠ A2 ≠ A3</t>
    </r>
  </si>
  <si>
    <t>A1 = A2 = A3</t>
  </si>
  <si>
    <t>=</t>
  </si>
  <si>
    <t>Derajat Bebas Antar Grup:</t>
  </si>
  <si>
    <t>Kuadrat Rerata Antar Grup (KRA):</t>
  </si>
  <si>
    <t>Derajat Bebas dalam Grup:</t>
  </si>
  <si>
    <t>Ditentukan taraf signifikansi sebesar:</t>
  </si>
  <si>
    <t>Tabel Ringkasan ANOVA:</t>
  </si>
  <si>
    <t>Kriteria Pengujian:</t>
  </si>
  <si>
    <t>Kesimpulan:</t>
  </si>
  <si>
    <t xml:space="preserve">Apabila </t>
  </si>
  <si>
    <t xml:space="preserve">Karena nilai </t>
  </si>
  <si>
    <t xml:space="preserve">dan </t>
  </si>
  <si>
    <t>CONTOH KASUS ONE-WAY ANALYSIS OF VARIANCE (ONE-WAY ANOVA)</t>
  </si>
  <si>
    <t>Seorang peneliti ingin mengetahui perbedaan hasil belajar untuk Mata Kuliah Statistika antara mahasiswa tugas belajar, izin belajar, dan umum.</t>
  </si>
  <si>
    <t>Data yang diambil adalah nilai UTS mahasiswa tugas belajar (kelas A1), izin belajar (A2), dan umum (A3).</t>
  </si>
  <si>
    <t>Terdapat perbedaan hasil belajar yang signifikan antara mahasiswa tugas belajar (A1), izin belajar (A2), dan umum (A3).</t>
  </si>
  <si>
    <t>Tidak ada perbedaan hasil belajar yang signifikan antara mahasiswa tugas belajar (A1), izin belajar (A2), dan umum (A3).</t>
  </si>
  <si>
    <t>Jumlah Kuadrat Antar Grup (JKA):</t>
  </si>
  <si>
    <t>Jumlah Kuadrat Dalam Antar Grup (JKD):</t>
  </si>
  <si>
    <t>Sumber Varian</t>
  </si>
  <si>
    <t>Jumlah Kuadrat</t>
  </si>
  <si>
    <t>Derajat Bebas</t>
  </si>
  <si>
    <t>Kuadrat Rerata</t>
  </si>
  <si>
    <t>Antar Group (A)</t>
  </si>
  <si>
    <t>Dalam Group (D)</t>
  </si>
  <si>
    <t>Total</t>
  </si>
  <si>
    <t>Kuadrat Rerata dalam Group (JKRD):</t>
  </si>
  <si>
    <t xml:space="preserve">maka Ho ditolak, sedangkan bila </t>
  </si>
  <si>
    <t>maka Ho diterima.</t>
  </si>
  <si>
    <t>x-((∑x)/n)^2</t>
  </si>
  <si>
    <t>Standar deviasi</t>
  </si>
  <si>
    <t>, maka</t>
  </si>
  <si>
    <r>
      <t xml:space="preserve">Dari pengujian data tersebut, dapat disimpulkan bahwa </t>
    </r>
    <r>
      <rPr>
        <b/>
        <sz val="11"/>
        <color theme="1"/>
        <rFont val="Calibri"/>
        <family val="2"/>
        <scheme val="minor"/>
      </rPr>
      <t>terdapat perbedaan</t>
    </r>
    <r>
      <rPr>
        <sz val="11"/>
        <color theme="1"/>
        <rFont val="Calibri"/>
        <family val="2"/>
        <scheme val="minor"/>
      </rPr>
      <t xml:space="preserve"> hasil belajar yang signifikan</t>
    </r>
  </si>
  <si>
    <t>antara mahasiswa tugas belajar (A1), izin belajar (A2) dan umum (A3).</t>
  </si>
  <si>
    <t>Anggota Kelompok</t>
  </si>
  <si>
    <t>Dimas Atha Putra</t>
  </si>
  <si>
    <t>Rahmat Enomoto</t>
  </si>
  <si>
    <t>NIM</t>
  </si>
  <si>
    <t>230605110052</t>
  </si>
  <si>
    <t>230605110010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</si>
</sst>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1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1" fillId="8" borderId="1" xfId="0" applyFont="1" applyFill="1" applyBorder="1"/>
    <xf numFmtId="0" fontId="0" fillId="8" borderId="1" xfId="0" applyFill="1" applyBorder="1"/>
    <xf numFmtId="0" fontId="2" fillId="8" borderId="1" xfId="0" applyFont="1" applyFill="1" applyBorder="1"/>
    <xf numFmtId="0" fontId="1" fillId="9" borderId="1" xfId="0" applyFont="1" applyFill="1" applyBorder="1"/>
    <xf numFmtId="0" fontId="0" fillId="9" borderId="1" xfId="0" applyFill="1" applyBorder="1"/>
    <xf numFmtId="0" fontId="0" fillId="0" borderId="0" xfId="0" applyAlignment="1">
      <alignment horizontal="right"/>
    </xf>
    <xf numFmtId="0" fontId="1" fillId="5" borderId="1" xfId="0" applyFont="1" applyFill="1" applyBorder="1" applyAlignment="1">
      <alignment horizontal="center"/>
    </xf>
    <xf numFmtId="0" fontId="1" fillId="10" borderId="3" xfId="0" applyFont="1" applyFill="1" applyBorder="1"/>
    <xf numFmtId="0" fontId="1" fillId="10" borderId="1" xfId="0" applyFont="1" applyFill="1" applyBorder="1"/>
    <xf numFmtId="0" fontId="1" fillId="0" borderId="1" xfId="0" applyFont="1" applyBorder="1"/>
    <xf numFmtId="0" fontId="0" fillId="0" borderId="1" xfId="0" applyBorder="1"/>
    <xf numFmtId="0" fontId="0" fillId="0" borderId="2" xfId="0" quotePrefix="1" applyBorder="1" applyAlignment="1">
      <alignment horizontal="right"/>
    </xf>
    <xf numFmtId="0" fontId="0" fillId="0" borderId="5" xfId="0" quotePrefix="1" applyBorder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292100</xdr:colOff>
      <xdr:row>37</xdr:row>
      <xdr:rowOff>85725</xdr:rowOff>
    </xdr:from>
    <xdr:ext cx="2035685" cy="59631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AA52BD0-AA43-46E4-B7AC-5E7E55D67CD3}"/>
                </a:ext>
              </a:extLst>
            </xdr:cNvPr>
            <xdr:cNvSpPr txBox="1"/>
          </xdr:nvSpPr>
          <xdr:spPr>
            <a:xfrm>
              <a:off x="292100" y="6899275"/>
              <a:ext cx="2035685" cy="5963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𝐽𝐾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limLoc m:val="undOvr"/>
                        <m:subHide m:val="on"/>
                        <m:supHide m:val="on"/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f>
                          <m:f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nary>
                                  <m:naryPr>
                                    <m:chr m:val="∑"/>
                                    <m:limLoc m:val="undOvr"/>
                                    <m:subHide m:val="on"/>
                                    <m:supHide m:val="on"/>
                                    <m:ctrlPr>
                                      <a:rPr lang="en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n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𝑋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𝐴</m:t>
                                        </m:r>
                                        <m:r>
                                          <a:rPr lang="en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nary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b>
                              <m:sSubPr>
                                <m:ctrlP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𝑛𝐴</m:t>
                                </m:r>
                              </m:e>
                              <m:sub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</m:den>
                        </m:f>
                      </m:e>
                    </m:nary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f>
                      <m:f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nary>
                                  <m:naryPr>
                                    <m:chr m:val="∑"/>
                                    <m:limLoc m:val="undOvr"/>
                                    <m:subHide m:val="on"/>
                                    <m:supHide m:val="on"/>
                                    <m:ctrlPr>
                                      <a:rPr lang="en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n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𝑋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𝐴𝑖</m:t>
                                        </m:r>
                                      </m:sub>
                                    </m:sSub>
                                  </m:e>
                                </m:nary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nary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  <m:sup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den>
                    </m:f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AA52BD0-AA43-46E4-B7AC-5E7E55D67CD3}"/>
                </a:ext>
              </a:extLst>
            </xdr:cNvPr>
            <xdr:cNvSpPr txBox="1"/>
          </xdr:nvSpPr>
          <xdr:spPr>
            <a:xfrm>
              <a:off x="292100" y="6899275"/>
              <a:ext cx="2035685" cy="5963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〖𝐽𝐾〗_𝐴=∑1▒〖(∑1▒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 )〗^2/〖𝑛𝐴〗_𝑖 −〖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(∑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(∑1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𝐴𝑖 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〗)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2/𝑁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276225</xdr:colOff>
      <xdr:row>43</xdr:row>
      <xdr:rowOff>15875</xdr:rowOff>
    </xdr:from>
    <xdr:ext cx="952953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DC1ABEF-61F8-4527-9B99-8511BCFC9CC6}"/>
                </a:ext>
              </a:extLst>
            </xdr:cNvPr>
            <xdr:cNvSpPr txBox="1"/>
          </xdr:nvSpPr>
          <xdr:spPr>
            <a:xfrm>
              <a:off x="276225" y="7934325"/>
              <a:ext cx="95295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𝑑𝑏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−1</m:t>
                    </m:r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DC1ABEF-61F8-4527-9B99-8511BCFC9CC6}"/>
                </a:ext>
              </a:extLst>
            </xdr:cNvPr>
            <xdr:cNvSpPr txBox="1"/>
          </xdr:nvSpPr>
          <xdr:spPr>
            <a:xfrm>
              <a:off x="276225" y="7934325"/>
              <a:ext cx="95295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〖𝑑𝑏〗_𝐴=𝐴−1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365125</xdr:colOff>
      <xdr:row>47</xdr:row>
      <xdr:rowOff>111125</xdr:rowOff>
    </xdr:from>
    <xdr:ext cx="830868" cy="516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620421-78B2-4CFD-84FE-FB61181895B2}"/>
                </a:ext>
              </a:extLst>
            </xdr:cNvPr>
            <xdr:cNvSpPr txBox="1"/>
          </xdr:nvSpPr>
          <xdr:spPr>
            <a:xfrm>
              <a:off x="365125" y="8766175"/>
              <a:ext cx="830868" cy="516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𝐽</m:t>
                    </m:r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𝐾𝑅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𝐽𝐾</m:t>
                            </m:r>
                          </m:e>
                          <m:sub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𝐴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𝑑𝑏</m:t>
                            </m:r>
                          </m:e>
                          <m:sub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𝐴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620421-78B2-4CFD-84FE-FB61181895B2}"/>
                </a:ext>
              </a:extLst>
            </xdr:cNvPr>
            <xdr:cNvSpPr txBox="1"/>
          </xdr:nvSpPr>
          <xdr:spPr>
            <a:xfrm>
              <a:off x="365125" y="8766175"/>
              <a:ext cx="830868" cy="516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𝐽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〖𝐾𝑅〗_𝐴=〖𝐽𝐾〗_𝐴/〖𝑑𝑏〗_𝐴 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149006</xdr:colOff>
      <xdr:row>52</xdr:row>
      <xdr:rowOff>92075</xdr:rowOff>
    </xdr:from>
    <xdr:ext cx="2186881" cy="4240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9649153-4219-4210-88A3-9AEBF173E718}"/>
                </a:ext>
              </a:extLst>
            </xdr:cNvPr>
            <xdr:cNvSpPr txBox="1"/>
          </xdr:nvSpPr>
          <xdr:spPr>
            <a:xfrm>
              <a:off x="149006" y="9998075"/>
              <a:ext cx="2186881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𝐽𝐾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/>
                          <m:sup/>
                          <m:e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𝐴𝑖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nary>
                      </m:e>
                    </m:nary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nary>
                      <m:naryPr>
                        <m:chr m:val="∑"/>
                        <m:limLoc m:val="undOvr"/>
                        <m:subHide m:val="on"/>
                        <m:supHide m:val="on"/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f>
                          <m:f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nary>
                                  <m:naryPr>
                                    <m:chr m:val="∑"/>
                                    <m:limLoc m:val="undOvr"/>
                                    <m:subHide m:val="on"/>
                                    <m:supHide m:val="on"/>
                                    <m:ctrlPr>
                                      <a:rPr lang="en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n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𝑋</m:t>
                                        </m:r>
                                      </m:e>
                                      <m:sub>
                                        <m:r>
                                          <a:rPr lang="en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𝐴𝑖</m:t>
                                        </m:r>
                                      </m:sub>
                                    </m:sSub>
                                  </m:e>
                                </m:nary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b>
                              <m:sSubPr>
                                <m:ctrlP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𝐴𝑖</m:t>
                                </m:r>
                              </m:sub>
                            </m:sSub>
                          </m:den>
                        </m:f>
                      </m:e>
                    </m:nary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9649153-4219-4210-88A3-9AEBF173E718}"/>
                </a:ext>
              </a:extLst>
            </xdr:cNvPr>
            <xdr:cNvSpPr txBox="1"/>
          </xdr:nvSpPr>
          <xdr:spPr>
            <a:xfrm>
              <a:off x="149006" y="9998075"/>
              <a:ext cx="2186881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〖𝐽𝐾〗_𝐷=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∑▒〖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(∑▒〖〖〖(𝑋〗_𝐴𝑖)〗^2)〗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−∑1▒〖(∑1▒𝑋_𝐴𝑖 )〗^2/𝑛_𝐴𝑖 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174625</xdr:colOff>
      <xdr:row>58</xdr:row>
      <xdr:rowOff>15875</xdr:rowOff>
    </xdr:from>
    <xdr:ext cx="100982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FB78018-7FE4-4BCD-9CDA-24FC1798DF42}"/>
                </a:ext>
              </a:extLst>
            </xdr:cNvPr>
            <xdr:cNvSpPr txBox="1"/>
          </xdr:nvSpPr>
          <xdr:spPr>
            <a:xfrm>
              <a:off x="174625" y="10696575"/>
              <a:ext cx="100982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𝑑𝑏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FB78018-7FE4-4BCD-9CDA-24FC1798DF42}"/>
                </a:ext>
              </a:extLst>
            </xdr:cNvPr>
            <xdr:cNvSpPr txBox="1"/>
          </xdr:nvSpPr>
          <xdr:spPr>
            <a:xfrm>
              <a:off x="174625" y="10696575"/>
              <a:ext cx="100982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〖𝑑𝑏〗_𝐷=𝑁−𝐴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6</xdr:col>
      <xdr:colOff>238125</xdr:colOff>
      <xdr:row>37</xdr:row>
      <xdr:rowOff>104775</xdr:rowOff>
    </xdr:from>
    <xdr:ext cx="806759" cy="516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7EF767E-EECE-4959-AFD3-90E3CDDAE85C}"/>
                </a:ext>
              </a:extLst>
            </xdr:cNvPr>
            <xdr:cNvSpPr txBox="1"/>
          </xdr:nvSpPr>
          <xdr:spPr>
            <a:xfrm>
              <a:off x="3978275" y="6918325"/>
              <a:ext cx="806759" cy="516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𝐾𝑅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𝐽𝐾</m:t>
                            </m:r>
                          </m:e>
                          <m:sub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𝑑𝑏</m:t>
                            </m:r>
                          </m:e>
                          <m:sub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7EF767E-EECE-4959-AFD3-90E3CDDAE85C}"/>
                </a:ext>
              </a:extLst>
            </xdr:cNvPr>
            <xdr:cNvSpPr txBox="1"/>
          </xdr:nvSpPr>
          <xdr:spPr>
            <a:xfrm>
              <a:off x="3978275" y="6918325"/>
              <a:ext cx="806759" cy="516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〖𝐾𝑅〗_𝐷=〖𝐽𝐾〗_𝐷/〖𝑑𝑏〗_𝐷 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6</xdr:col>
      <xdr:colOff>60325</xdr:colOff>
      <xdr:row>40</xdr:row>
      <xdr:rowOff>174625</xdr:rowOff>
    </xdr:from>
    <xdr:ext cx="559256" cy="1856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C10C56C-B665-44E1-A9BF-031B042435E7}"/>
                </a:ext>
              </a:extLst>
            </xdr:cNvPr>
            <xdr:cNvSpPr txBox="1"/>
          </xdr:nvSpPr>
          <xdr:spPr>
            <a:xfrm>
              <a:off x="9286875" y="3489325"/>
              <a:ext cx="559256" cy="185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𝑭</m:t>
                        </m:r>
                      </m:e>
                      <m:sub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𝒉𝒊𝒕𝒖𝒏𝒈</m:t>
                        </m:r>
                      </m:sub>
                    </m:sSub>
                    <m:r>
                      <a:rPr lang="en-US" sz="1100" b="1" i="1">
                        <a:latin typeface="Cambria Math" panose="02040503050406030204" pitchFamily="18" charset="0"/>
                      </a:rPr>
                      <m:t> :</m:t>
                    </m:r>
                  </m:oMath>
                </m:oMathPara>
              </a14:m>
              <a:endParaRPr lang="en-ID" sz="1100" b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C10C56C-B665-44E1-A9BF-031B042435E7}"/>
                </a:ext>
              </a:extLst>
            </xdr:cNvPr>
            <xdr:cNvSpPr txBox="1"/>
          </xdr:nvSpPr>
          <xdr:spPr>
            <a:xfrm>
              <a:off x="9286875" y="3489325"/>
              <a:ext cx="559256" cy="185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𝑭</a:t>
              </a:r>
              <a:r>
                <a:rPr lang="en-ID" sz="1100" b="1" i="0">
                  <a:latin typeface="Cambria Math" panose="02040503050406030204" pitchFamily="18" charset="0"/>
                </a:rPr>
                <a:t>_</a:t>
              </a:r>
              <a:r>
                <a:rPr lang="en-US" sz="1100" b="1" i="0">
                  <a:latin typeface="Cambria Math" panose="02040503050406030204" pitchFamily="18" charset="0"/>
                </a:rPr>
                <a:t>𝒉𝒊𝒕𝒖𝒏𝒈  :</a:t>
              </a:r>
              <a:endParaRPr lang="en-ID" sz="1100" b="1"/>
            </a:p>
          </xdr:txBody>
        </xdr:sp>
      </mc:Fallback>
    </mc:AlternateContent>
    <xdr:clientData/>
  </xdr:oneCellAnchor>
  <xdr:oneCellAnchor>
    <xdr:from>
      <xdr:col>6</xdr:col>
      <xdr:colOff>73025</xdr:colOff>
      <xdr:row>42</xdr:row>
      <xdr:rowOff>111125</xdr:rowOff>
    </xdr:from>
    <xdr:ext cx="1068113" cy="516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8CDF4A2-2C91-44A3-A39A-E1E0CF3C2D3C}"/>
                </a:ext>
              </a:extLst>
            </xdr:cNvPr>
            <xdr:cNvSpPr txBox="1"/>
          </xdr:nvSpPr>
          <xdr:spPr>
            <a:xfrm>
              <a:off x="3813175" y="7845425"/>
              <a:ext cx="1068113" cy="516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h𝑖𝑡𝑢𝑛𝑔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𝐽</m:t>
                            </m:r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𝐾𝑅</m:t>
                            </m:r>
                          </m:e>
                          <m:sub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𝐴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𝐾𝑅</m:t>
                            </m:r>
                          </m:e>
                          <m:sub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8CDF4A2-2C91-44A3-A39A-E1E0CF3C2D3C}"/>
                </a:ext>
              </a:extLst>
            </xdr:cNvPr>
            <xdr:cNvSpPr txBox="1"/>
          </xdr:nvSpPr>
          <xdr:spPr>
            <a:xfrm>
              <a:off x="3813175" y="7845425"/>
              <a:ext cx="1068113" cy="516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𝐹_ℎ𝑖𝑡𝑢𝑛𝑔=〖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𝐽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𝐾𝑅〗_𝐴/〖𝐾𝑅〗_𝐷 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6</xdr:col>
      <xdr:colOff>269875</xdr:colOff>
      <xdr:row>48</xdr:row>
      <xdr:rowOff>3175</xdr:rowOff>
    </xdr:from>
    <xdr:ext cx="71885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534F5D5-07B7-4DA9-B6FB-9CF5B3B77022}"/>
                </a:ext>
              </a:extLst>
            </xdr:cNvPr>
            <xdr:cNvSpPr txBox="1"/>
          </xdr:nvSpPr>
          <xdr:spPr>
            <a:xfrm>
              <a:off x="9496425" y="4791075"/>
              <a:ext cx="7188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𝛼</m:t>
                    </m:r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=0,05</m:t>
                    </m:r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534F5D5-07B7-4DA9-B6FB-9CF5B3B77022}"/>
                </a:ext>
              </a:extLst>
            </xdr:cNvPr>
            <xdr:cNvSpPr txBox="1"/>
          </xdr:nvSpPr>
          <xdr:spPr>
            <a:xfrm>
              <a:off x="9496425" y="4791075"/>
              <a:ext cx="7188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𝛼=0,05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6</xdr:col>
      <xdr:colOff>92075</xdr:colOff>
      <xdr:row>50</xdr:row>
      <xdr:rowOff>180975</xdr:rowOff>
    </xdr:from>
    <xdr:ext cx="4742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D113E3A-1E60-42F6-9590-2A8F1BFBBEF0}"/>
                </a:ext>
              </a:extLst>
            </xdr:cNvPr>
            <xdr:cNvSpPr txBox="1"/>
          </xdr:nvSpPr>
          <xdr:spPr>
            <a:xfrm>
              <a:off x="9318625" y="5337175"/>
              <a:ext cx="4742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𝑭</m:t>
                        </m:r>
                      </m:e>
                      <m:sub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𝒕𝒂𝒃𝒆𝒍</m:t>
                        </m:r>
                      </m:sub>
                    </m:sSub>
                    <m:r>
                      <a:rPr lang="en-US" sz="1100" b="1" i="1">
                        <a:latin typeface="Cambria Math" panose="02040503050406030204" pitchFamily="18" charset="0"/>
                      </a:rPr>
                      <m:t> :</m:t>
                    </m:r>
                  </m:oMath>
                </m:oMathPara>
              </a14:m>
              <a:endParaRPr lang="en-ID" sz="1100" b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D113E3A-1E60-42F6-9590-2A8F1BFBBEF0}"/>
                </a:ext>
              </a:extLst>
            </xdr:cNvPr>
            <xdr:cNvSpPr txBox="1"/>
          </xdr:nvSpPr>
          <xdr:spPr>
            <a:xfrm>
              <a:off x="9318625" y="5337175"/>
              <a:ext cx="4742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𝑭</a:t>
              </a:r>
              <a:r>
                <a:rPr lang="en-ID" sz="1100" b="1" i="0">
                  <a:latin typeface="Cambria Math" panose="02040503050406030204" pitchFamily="18" charset="0"/>
                </a:rPr>
                <a:t>_</a:t>
              </a:r>
              <a:r>
                <a:rPr lang="en-US" sz="1100" b="1" i="0">
                  <a:latin typeface="Cambria Math" panose="02040503050406030204" pitchFamily="18" charset="0"/>
                </a:rPr>
                <a:t>𝒕𝒂𝒃𝒆𝒍  :</a:t>
              </a:r>
              <a:endParaRPr lang="en-ID" sz="1100" b="1"/>
            </a:p>
          </xdr:txBody>
        </xdr:sp>
      </mc:Fallback>
    </mc:AlternateContent>
    <xdr:clientData/>
  </xdr:oneCellAnchor>
  <xdr:oneCellAnchor>
    <xdr:from>
      <xdr:col>6</xdr:col>
      <xdr:colOff>320675</xdr:colOff>
      <xdr:row>52</xdr:row>
      <xdr:rowOff>155575</xdr:rowOff>
    </xdr:from>
    <xdr:ext cx="2018822" cy="3581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E8E6B2-9551-4BEC-B8DF-96940E360992}"/>
                </a:ext>
              </a:extLst>
            </xdr:cNvPr>
            <xdr:cNvSpPr txBox="1"/>
          </xdr:nvSpPr>
          <xdr:spPr>
            <a:xfrm>
              <a:off x="4047849" y="9630879"/>
              <a:ext cx="2018822" cy="3581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𝑡𝑎𝑏𝑒𝑙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(1−</m:t>
                        </m:r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)(</m:t>
                        </m:r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𝑑𝑏𝐴</m:t>
                        </m:r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 </m:t>
                        </m:r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𝑑𝑏𝐷</m:t>
                        </m:r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</m:sSub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(2,   32)</m:t>
                        </m:r>
                      </m:sub>
                    </m:sSub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E8E6B2-9551-4BEC-B8DF-96940E360992}"/>
                </a:ext>
              </a:extLst>
            </xdr:cNvPr>
            <xdr:cNvSpPr txBox="1"/>
          </xdr:nvSpPr>
          <xdr:spPr>
            <a:xfrm>
              <a:off x="4047849" y="9630879"/>
              <a:ext cx="2018822" cy="3581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𝐹_𝑡𝑎𝑏𝑒𝑙=𝐹_((1−𝛼)(𝑑𝑏𝐴,  𝑑𝑏𝐷))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=𝐹_((2,   32))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5</xdr:col>
      <xdr:colOff>225425</xdr:colOff>
      <xdr:row>2</xdr:row>
      <xdr:rowOff>9525</xdr:rowOff>
    </xdr:from>
    <xdr:ext cx="180690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E154F2C-7192-42F1-AC98-EEE84E2CADC6}"/>
                </a:ext>
              </a:extLst>
            </xdr:cNvPr>
            <xdr:cNvSpPr txBox="1"/>
          </xdr:nvSpPr>
          <xdr:spPr>
            <a:xfrm>
              <a:off x="3355975" y="377825"/>
              <a:ext cx="180690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ID" sz="11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p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n-ID" sz="11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E154F2C-7192-42F1-AC98-EEE84E2CADC6}"/>
                </a:ext>
              </a:extLst>
            </xdr:cNvPr>
            <xdr:cNvSpPr txBox="1"/>
          </xdr:nvSpPr>
          <xdr:spPr>
            <a:xfrm>
              <a:off x="3355975" y="377825"/>
              <a:ext cx="180690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𝒙</a:t>
              </a:r>
              <a:r>
                <a:rPr lang="en-ID" sz="1100" b="1" i="0">
                  <a:latin typeface="Cambria Math" panose="02040503050406030204" pitchFamily="18" charset="0"/>
                </a:rPr>
                <a:t>^</a:t>
              </a:r>
              <a:r>
                <a:rPr lang="en-US" sz="1100" b="1" i="0">
                  <a:latin typeface="Cambria Math" panose="02040503050406030204" pitchFamily="18" charset="0"/>
                </a:rPr>
                <a:t>𝟐</a:t>
              </a:r>
              <a:endParaRPr lang="en-ID" sz="1100" b="1"/>
            </a:p>
          </xdr:txBody>
        </xdr:sp>
      </mc:Fallback>
    </mc:AlternateContent>
    <xdr:clientData/>
  </xdr:oneCellAnchor>
  <xdr:oneCellAnchor>
    <xdr:from>
      <xdr:col>0</xdr:col>
      <xdr:colOff>650875</xdr:colOff>
      <xdr:row>62</xdr:row>
      <xdr:rowOff>9525</xdr:rowOff>
    </xdr:from>
    <xdr:ext cx="1127553" cy="2190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1E7530C-D196-4DE1-94C2-C6CBFFC7F2E5}"/>
                </a:ext>
              </a:extLst>
            </xdr:cNvPr>
            <xdr:cNvSpPr txBox="1"/>
          </xdr:nvSpPr>
          <xdr:spPr>
            <a:xfrm>
              <a:off x="650875" y="12900025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h𝑖𝑡𝑢𝑛𝑔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𝑡𝑎𝑏𝑒𝑙</m:t>
                        </m:r>
                      </m:sub>
                    </m:sSub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1E7530C-D196-4DE1-94C2-C6CBFFC7F2E5}"/>
                </a:ext>
              </a:extLst>
            </xdr:cNvPr>
            <xdr:cNvSpPr txBox="1"/>
          </xdr:nvSpPr>
          <xdr:spPr>
            <a:xfrm>
              <a:off x="650875" y="12900025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𝐹_ℎ𝑖𝑡𝑢𝑛𝑔≥𝐹_𝑡𝑎𝑏𝑒𝑙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6</xdr:col>
      <xdr:colOff>120650</xdr:colOff>
      <xdr:row>61</xdr:row>
      <xdr:rowOff>165100</xdr:rowOff>
    </xdr:from>
    <xdr:ext cx="1127553" cy="2190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A8BF60A-8AC7-430D-B8B6-603F0D4590DF}"/>
                </a:ext>
              </a:extLst>
            </xdr:cNvPr>
            <xdr:cNvSpPr txBox="1"/>
          </xdr:nvSpPr>
          <xdr:spPr>
            <a:xfrm>
              <a:off x="3860800" y="12871450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h𝑖𝑡𝑢𝑛𝑔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𝑡𝑎𝑏𝑒𝑙</m:t>
                        </m:r>
                      </m:sub>
                    </m:sSub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A8BF60A-8AC7-430D-B8B6-603F0D4590DF}"/>
                </a:ext>
              </a:extLst>
            </xdr:cNvPr>
            <xdr:cNvSpPr txBox="1"/>
          </xdr:nvSpPr>
          <xdr:spPr>
            <a:xfrm>
              <a:off x="3860800" y="12871450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𝐹_ℎ𝑖𝑡𝑢𝑛𝑔&lt;𝐹_𝑡𝑎𝑏𝑒𝑙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3</xdr:col>
      <xdr:colOff>385970</xdr:colOff>
      <xdr:row>63</xdr:row>
      <xdr:rowOff>184943</xdr:rowOff>
    </xdr:from>
    <xdr:ext cx="549522" cy="2190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7270691-950F-4860-B8C5-4A2509AC1A23}"/>
                </a:ext>
              </a:extLst>
            </xdr:cNvPr>
            <xdr:cNvSpPr txBox="1"/>
          </xdr:nvSpPr>
          <xdr:spPr>
            <a:xfrm>
              <a:off x="2265457" y="11972131"/>
              <a:ext cx="549522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sSub>
                    <m:sSubPr>
                      <m:ctrlPr>
                        <a:rPr lang="en-ID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ID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𝐹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𝑡𝑎𝑏𝑒𝑙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r>
                <a:rPr lang="en-ID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7270691-950F-4860-B8C5-4A2509AC1A23}"/>
                </a:ext>
              </a:extLst>
            </xdr:cNvPr>
            <xdr:cNvSpPr txBox="1"/>
          </xdr:nvSpPr>
          <xdr:spPr>
            <a:xfrm>
              <a:off x="2265457" y="11972131"/>
              <a:ext cx="549522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𝑡𝑎𝑏𝑒𝑙=</a:t>
              </a:r>
              <a:r>
                <a:rPr lang="en-ID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219075</xdr:colOff>
      <xdr:row>16</xdr:row>
      <xdr:rowOff>3175</xdr:rowOff>
    </xdr:from>
    <xdr:ext cx="11522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09D90E7-D42C-4737-9992-0E23A55F9083}"/>
                </a:ext>
              </a:extLst>
            </xdr:cNvPr>
            <xdr:cNvSpPr txBox="1"/>
          </xdr:nvSpPr>
          <xdr:spPr>
            <a:xfrm>
              <a:off x="219075" y="2949575"/>
              <a:ext cx="1152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09D90E7-D42C-4737-9992-0E23A55F9083}"/>
                </a:ext>
              </a:extLst>
            </xdr:cNvPr>
            <xdr:cNvSpPr txBox="1"/>
          </xdr:nvSpPr>
          <xdr:spPr>
            <a:xfrm>
              <a:off x="219075" y="2949575"/>
              <a:ext cx="1152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17</xdr:row>
      <xdr:rowOff>3175</xdr:rowOff>
    </xdr:from>
    <xdr:ext cx="551220" cy="223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4D37740-AB0C-45FA-ACDF-89313F179225}"/>
                </a:ext>
              </a:extLst>
            </xdr:cNvPr>
            <xdr:cNvSpPr txBox="1"/>
          </xdr:nvSpPr>
          <xdr:spPr>
            <a:xfrm>
              <a:off x="0" y="3133725"/>
              <a:ext cx="551220" cy="223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ID" sz="6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nary>
                  </m:oMath>
                </m:oMathPara>
              </a14:m>
              <a:endParaRPr lang="en-ID" sz="6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4D37740-AB0C-45FA-ACDF-89313F179225}"/>
                </a:ext>
              </a:extLst>
            </xdr:cNvPr>
            <xdr:cNvSpPr txBox="1"/>
          </xdr:nvSpPr>
          <xdr:spPr>
            <a:xfrm>
              <a:off x="0" y="3133725"/>
              <a:ext cx="551220" cy="223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D" sz="600" i="0">
                  <a:latin typeface="Cambria Math" panose="02040503050406030204" pitchFamily="18" charset="0"/>
                </a:rPr>
                <a:t>∑▒</a:t>
              </a:r>
              <a:r>
                <a:rPr lang="en-US" sz="600" b="0" i="0">
                  <a:latin typeface="Cambria Math" panose="02040503050406030204" pitchFamily="18" charset="0"/>
                </a:rPr>
                <a:t>𝑥</a:t>
              </a:r>
              <a:endParaRPr lang="en-ID" sz="600"/>
            </a:p>
          </xdr:txBody>
        </xdr:sp>
      </mc:Fallback>
    </mc:AlternateContent>
    <xdr:clientData/>
  </xdr:oneCellAnchor>
  <xdr:oneCellAnchor>
    <xdr:from>
      <xdr:col>0</xdr:col>
      <xdr:colOff>133350</xdr:colOff>
      <xdr:row>19</xdr:row>
      <xdr:rowOff>6350</xdr:rowOff>
    </xdr:from>
    <xdr:ext cx="551220" cy="1565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A13D96C-7D42-45D6-80C3-4E124D958263}"/>
                </a:ext>
              </a:extLst>
            </xdr:cNvPr>
            <xdr:cNvSpPr txBox="1"/>
          </xdr:nvSpPr>
          <xdr:spPr>
            <a:xfrm>
              <a:off x="133350" y="3505200"/>
              <a:ext cx="551220" cy="156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D" sz="1000"/>
                <a:t>(</a:t>
              </a:r>
              <a14:m>
                <m:oMath xmlns:m="http://schemas.openxmlformats.org/officeDocument/2006/math">
                  <m:nary>
                    <m:naryPr>
                      <m:chr m:val="∑"/>
                      <m:subHide m:val="on"/>
                      <m:supHide m:val="on"/>
                      <m:ctrlPr>
                        <a:rPr lang="en-ID" sz="1000" i="1">
                          <a:latin typeface="Cambria Math" panose="02040503050406030204" pitchFamily="18" charset="0"/>
                        </a:rPr>
                      </m:ctrlPr>
                    </m:naryPr>
                    <m:sub/>
                    <m:sup/>
                    <m:e>
                      <m:r>
                        <a:rPr lang="en-US" sz="1000" b="0" i="1">
                          <a:latin typeface="Cambria Math" panose="02040503050406030204" pitchFamily="18" charset="0"/>
                        </a:rPr>
                        <m:t>𝑥</m:t>
                      </m:r>
                      <m:r>
                        <a:rPr lang="en-US" sz="1000" b="0" i="1">
                          <a:latin typeface="Cambria Math" panose="02040503050406030204" pitchFamily="18" charset="0"/>
                        </a:rPr>
                        <m:t>)/</m:t>
                      </m:r>
                      <m:r>
                        <a:rPr lang="en-US" sz="1000" b="0" i="1">
                          <a:latin typeface="Cambria Math" panose="02040503050406030204" pitchFamily="18" charset="0"/>
                        </a:rPr>
                        <m:t>𝑛</m:t>
                      </m:r>
                    </m:e>
                  </m:nary>
                </m:oMath>
              </a14:m>
              <a:endParaRPr lang="en-ID" sz="10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A13D96C-7D42-45D6-80C3-4E124D958263}"/>
                </a:ext>
              </a:extLst>
            </xdr:cNvPr>
            <xdr:cNvSpPr txBox="1"/>
          </xdr:nvSpPr>
          <xdr:spPr>
            <a:xfrm>
              <a:off x="133350" y="3505200"/>
              <a:ext cx="551220" cy="156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D" sz="1000"/>
                <a:t>(</a:t>
              </a:r>
              <a:r>
                <a:rPr lang="en-ID" sz="1000" i="0">
                  <a:latin typeface="Cambria Math" panose="02040503050406030204" pitchFamily="18" charset="0"/>
                </a:rPr>
                <a:t>∑▒〖</a:t>
              </a:r>
              <a:r>
                <a:rPr lang="en-US" sz="1000" b="0" i="0">
                  <a:latin typeface="Cambria Math" panose="02040503050406030204" pitchFamily="18" charset="0"/>
                </a:rPr>
                <a:t>𝑥)/𝑛</a:t>
              </a:r>
              <a:r>
                <a:rPr lang="en-ID" sz="1000" b="0" i="0">
                  <a:latin typeface="Cambria Math" panose="02040503050406030204" pitchFamily="18" charset="0"/>
                </a:rPr>
                <a:t>〗</a:t>
              </a:r>
              <a:endParaRPr lang="en-ID" sz="1000"/>
            </a:p>
          </xdr:txBody>
        </xdr:sp>
      </mc:Fallback>
    </mc:AlternateContent>
    <xdr:clientData/>
  </xdr:oneCellAnchor>
  <xdr:oneCellAnchor>
    <xdr:from>
      <xdr:col>0</xdr:col>
      <xdr:colOff>184150</xdr:colOff>
      <xdr:row>18</xdr:row>
      <xdr:rowOff>31750</xdr:rowOff>
    </xdr:from>
    <xdr:ext cx="551220" cy="1227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05101F3-D54F-4CC5-9752-DE877937D1CC}"/>
                </a:ext>
              </a:extLst>
            </xdr:cNvPr>
            <xdr:cNvSpPr txBox="1"/>
          </xdr:nvSpPr>
          <xdr:spPr>
            <a:xfrm>
              <a:off x="184150" y="3346450"/>
              <a:ext cx="551220" cy="122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800" b="0" i="1">
                      <a:latin typeface="Cambria Math" panose="02040503050406030204" pitchFamily="18" charset="0"/>
                    </a:rPr>
                    <m:t> </m:t>
                  </m:r>
                  <m:sSup>
                    <m:sSupPr>
                      <m:ctrlPr>
                        <a:rPr lang="en-US" sz="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m:rPr>
                          <m:nor/>
                        </m:rPr>
                        <a:rPr lang="en-ID" sz="80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(</m:t>
                      </m:r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lang="en-ID" sz="8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naryPr>
                        <m:sub/>
                        <m:sup/>
                        <m:e>
                          <m:r>
                            <a:rPr lang="en-US" sz="8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</m:nary>
                      <m:r>
                        <a:rPr lang="en-US" sz="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e>
                    <m:sup>
                      <m:r>
                        <a:rPr lang="en-US" sz="8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ID" sz="600"/>
                <a:t> </a:t>
              </a: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05101F3-D54F-4CC5-9752-DE877937D1CC}"/>
                </a:ext>
              </a:extLst>
            </xdr:cNvPr>
            <xdr:cNvSpPr txBox="1"/>
          </xdr:nvSpPr>
          <xdr:spPr>
            <a:xfrm>
              <a:off x="184150" y="3346450"/>
              <a:ext cx="551220" cy="122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800" b="0" i="0">
                  <a:latin typeface="Cambria Math" panose="02040503050406030204" pitchFamily="18" charset="0"/>
                </a:rPr>
                <a:t> 〖</a:t>
              </a:r>
              <a:r>
                <a:rPr lang="en-ID" sz="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ID" sz="8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(" ∑</a:t>
              </a:r>
              <a:r>
                <a:rPr lang="en-US" sz="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▒𝑥)</a:t>
              </a:r>
              <a:r>
                <a:rPr lang="en-US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800" b="0" i="0">
                  <a:latin typeface="Cambria Math" panose="02040503050406030204" pitchFamily="18" charset="0"/>
                </a:rPr>
                <a:t>2</a:t>
              </a:r>
              <a:r>
                <a:rPr lang="en-ID" sz="600"/>
                <a:t> </a:t>
              </a:r>
            </a:p>
          </xdr:txBody>
        </xdr:sp>
      </mc:Fallback>
    </mc:AlternateContent>
    <xdr:clientData/>
  </xdr:oneCellAnchor>
  <xdr:oneCellAnchor>
    <xdr:from>
      <xdr:col>0</xdr:col>
      <xdr:colOff>155575</xdr:colOff>
      <xdr:row>20</xdr:row>
      <xdr:rowOff>15875</xdr:rowOff>
    </xdr:from>
    <xdr:ext cx="396775" cy="1428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93EE5E1-0CFA-4655-9495-0E0F6233CA43}"/>
                </a:ext>
              </a:extLst>
            </xdr:cNvPr>
            <xdr:cNvSpPr txBox="1"/>
          </xdr:nvSpPr>
          <xdr:spPr>
            <a:xfrm>
              <a:off x="155575" y="3698875"/>
              <a:ext cx="396775" cy="1428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8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lang="en-US" sz="8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/>
                        <m:sup/>
                        <m:e>
                          <m:r>
                            <a:rPr lang="en-US" sz="800" b="0" i="1">
                              <a:latin typeface="Cambria Math" panose="02040503050406030204" pitchFamily="18" charset="0"/>
                            </a:rPr>
                            <m:t>𝑥</m:t>
                          </m:r>
                          <m:r>
                            <a:rPr lang="en-US" sz="800" b="0" i="1">
                              <a:latin typeface="Cambria Math" panose="02040503050406030204" pitchFamily="18" charset="0"/>
                            </a:rPr>
                            <m:t>)</m:t>
                          </m:r>
                        </m:e>
                      </m:nary>
                    </m:e>
                    <m:sup>
                      <m:r>
                        <a:rPr lang="en-US" sz="8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800" b="0" i="1">
                      <a:latin typeface="Cambria Math" panose="02040503050406030204" pitchFamily="18" charset="0"/>
                    </a:rPr>
                    <m:t>/</m:t>
                  </m:r>
                  <m:r>
                    <a:rPr lang="en-US" sz="800" b="0" i="1">
                      <a:latin typeface="Cambria Math" panose="02040503050406030204" pitchFamily="18" charset="0"/>
                    </a:rPr>
                    <m:t>𝑛</m:t>
                  </m:r>
                </m:oMath>
              </a14:m>
              <a:endParaRPr lang="en-ID" sz="8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93EE5E1-0CFA-4655-9495-0E0F6233CA43}"/>
                </a:ext>
              </a:extLst>
            </xdr:cNvPr>
            <xdr:cNvSpPr txBox="1"/>
          </xdr:nvSpPr>
          <xdr:spPr>
            <a:xfrm>
              <a:off x="155575" y="3698875"/>
              <a:ext cx="396775" cy="1428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800" b="0"/>
                <a:t>(</a:t>
              </a:r>
              <a:r>
                <a:rPr lang="en-US" sz="800" b="0" i="0">
                  <a:latin typeface="Cambria Math" panose="02040503050406030204" pitchFamily="18" charset="0"/>
                </a:rPr>
                <a:t>∑▒〖𝑥)〗^2/𝑛</a:t>
              </a:r>
              <a:endParaRPr lang="en-ID" sz="800"/>
            </a:p>
          </xdr:txBody>
        </xdr:sp>
      </mc:Fallback>
    </mc:AlternateContent>
    <xdr:clientData/>
  </xdr:oneCellAnchor>
  <xdr:oneCellAnchor>
    <xdr:from>
      <xdr:col>17</xdr:col>
      <xdr:colOff>92075</xdr:colOff>
      <xdr:row>47</xdr:row>
      <xdr:rowOff>180975</xdr:rowOff>
    </xdr:from>
    <xdr:ext cx="477117" cy="1856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A350A01-ABA3-4CCA-8E52-764489E63A54}"/>
                </a:ext>
              </a:extLst>
            </xdr:cNvPr>
            <xdr:cNvSpPr txBox="1"/>
          </xdr:nvSpPr>
          <xdr:spPr>
            <a:xfrm>
              <a:off x="12004675" y="8836025"/>
              <a:ext cx="477117" cy="185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𝑭</m:t>
                        </m:r>
                      </m:e>
                      <m:sub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𝒉𝒊𝒕𝒖𝒏𝒈</m:t>
                        </m:r>
                      </m:sub>
                    </m:sSub>
                  </m:oMath>
                </m:oMathPara>
              </a14:m>
              <a:endParaRPr lang="en-ID" sz="1100" b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A350A01-ABA3-4CCA-8E52-764489E63A54}"/>
                </a:ext>
              </a:extLst>
            </xdr:cNvPr>
            <xdr:cNvSpPr txBox="1"/>
          </xdr:nvSpPr>
          <xdr:spPr>
            <a:xfrm>
              <a:off x="12004675" y="8836025"/>
              <a:ext cx="477117" cy="185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𝑭</a:t>
              </a:r>
              <a:r>
                <a:rPr lang="en-ID" sz="1100" b="1" i="0">
                  <a:latin typeface="Cambria Math" panose="02040503050406030204" pitchFamily="18" charset="0"/>
                </a:rPr>
                <a:t>_</a:t>
              </a:r>
              <a:r>
                <a:rPr lang="en-US" sz="1100" b="1" i="0">
                  <a:latin typeface="Cambria Math" panose="02040503050406030204" pitchFamily="18" charset="0"/>
                </a:rPr>
                <a:t>𝒉𝒊𝒕𝒖𝒏𝒈</a:t>
              </a:r>
              <a:endParaRPr lang="en-ID" sz="1100" b="1"/>
            </a:p>
          </xdr:txBody>
        </xdr:sp>
      </mc:Fallback>
    </mc:AlternateContent>
    <xdr:clientData/>
  </xdr:oneCellAnchor>
  <xdr:twoCellAnchor>
    <xdr:from>
      <xdr:col>0</xdr:col>
      <xdr:colOff>0</xdr:colOff>
      <xdr:row>64</xdr:row>
      <xdr:rowOff>0</xdr:rowOff>
    </xdr:from>
    <xdr:to>
      <xdr:col>1</xdr:col>
      <xdr:colOff>435403</xdr:colOff>
      <xdr:row>65</xdr:row>
      <xdr:rowOff>34925</xdr:rowOff>
    </xdr:to>
    <xdr:sp macro="" textlink="">
      <xdr:nvSpPr>
        <xdr:cNvPr id="25" name="TextBox 2">
          <a:extLst>
            <a:ext uri="{FF2B5EF4-FFF2-40B4-BE49-F238E27FC236}">
              <a16:creationId xmlns:a16="http://schemas.microsoft.com/office/drawing/2014/main" id="{75A32179-E4D0-441B-AF6A-DB05E583F3D6}"/>
            </a:ext>
          </a:extLst>
        </xdr:cNvPr>
        <xdr:cNvSpPr txBox="1"/>
      </xdr:nvSpPr>
      <xdr:spPr>
        <a:xfrm>
          <a:off x="0" y="11974286"/>
          <a:ext cx="1090247" cy="2220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0" tIns="0" rIns="0" bIns="0" rtlCol="0" anchor="t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 sz="1200">
            <a:solidFill>
              <a:schemeClr val="bg1"/>
            </a:solidFill>
            <a:effectLst/>
          </a:endParaRPr>
        </a:p>
        <a:p>
          <a:endParaRPr lang="en-ID" sz="1200">
            <a:solidFill>
              <a:schemeClr val="bg1"/>
            </a:solidFill>
          </a:endParaRPr>
        </a:p>
      </xdr:txBody>
    </xdr:sp>
    <xdr:clientData/>
  </xdr:twoCellAnchor>
  <xdr:oneCellAnchor>
    <xdr:from>
      <xdr:col>0</xdr:col>
      <xdr:colOff>450737</xdr:colOff>
      <xdr:row>64</xdr:row>
      <xdr:rowOff>0</xdr:rowOff>
    </xdr:from>
    <xdr:ext cx="1127553" cy="2190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AFDF992D-F71C-483D-8D9D-4F4C9AEB00D0}"/>
                </a:ext>
              </a:extLst>
            </xdr:cNvPr>
            <xdr:cNvSpPr txBox="1"/>
          </xdr:nvSpPr>
          <xdr:spPr>
            <a:xfrm>
              <a:off x="450737" y="11974286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h𝑖𝑡𝑢𝑛𝑔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endParaRPr lang="en-ID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AFDF992D-F71C-483D-8D9D-4F4C9AEB00D0}"/>
                </a:ext>
              </a:extLst>
            </xdr:cNvPr>
            <xdr:cNvSpPr txBox="1"/>
          </xdr:nvSpPr>
          <xdr:spPr>
            <a:xfrm>
              <a:off x="450737" y="11974286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𝐹_ℎ𝑖𝑡𝑢𝑛𝑔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endParaRPr lang="en-ID" sz="1100"/>
            </a:p>
          </xdr:txBody>
        </xdr:sp>
      </mc:Fallback>
    </mc:AlternateContent>
    <xdr:clientData/>
  </xdr:oneCellAnchor>
  <xdr:oneCellAnchor>
    <xdr:from>
      <xdr:col>5</xdr:col>
      <xdr:colOff>357188</xdr:colOff>
      <xdr:row>63</xdr:row>
      <xdr:rowOff>178594</xdr:rowOff>
    </xdr:from>
    <xdr:ext cx="1127553" cy="2190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A044F10B-58AC-434A-B7AE-F0AA245B479D}"/>
                </a:ext>
              </a:extLst>
            </xdr:cNvPr>
            <xdr:cNvSpPr txBox="1"/>
          </xdr:nvSpPr>
          <xdr:spPr>
            <a:xfrm>
              <a:off x="3461317" y="11965782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h𝑖𝑡𝑢𝑛𝑔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𝑡𝑎𝑏𝑒𝑙</m:t>
                        </m:r>
                      </m:sub>
                    </m:sSub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A044F10B-58AC-434A-B7AE-F0AA245B479D}"/>
                </a:ext>
              </a:extLst>
            </xdr:cNvPr>
            <xdr:cNvSpPr txBox="1"/>
          </xdr:nvSpPr>
          <xdr:spPr>
            <a:xfrm>
              <a:off x="3461317" y="11965782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𝐹_ℎ𝑖𝑡𝑢𝑛𝑔≥𝐹_𝑡𝑎𝑏𝑒𝑙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565E-7317-43FF-8846-045DCAC4B503}">
  <dimension ref="A1:R74"/>
  <sheetViews>
    <sheetView tabSelected="1" topLeftCell="A14" zoomScale="68" zoomScaleNormal="115" workbookViewId="0">
      <selection activeCell="K31" sqref="K31"/>
    </sheetView>
  </sheetViews>
  <sheetFormatPr defaultRowHeight="14.5" x14ac:dyDescent="0.35"/>
  <cols>
    <col min="1" max="1" width="9.81640625" customWidth="1"/>
    <col min="14" max="14" width="16.453125" customWidth="1"/>
    <col min="15" max="15" width="13.81640625" bestFit="1" customWidth="1"/>
    <col min="16" max="16" width="12.453125" bestFit="1" customWidth="1"/>
    <col min="17" max="17" width="13.453125" bestFit="1" customWidth="1"/>
  </cols>
  <sheetData>
    <row r="1" spans="1:13" x14ac:dyDescent="0.35">
      <c r="A1" s="1" t="s">
        <v>25</v>
      </c>
    </row>
    <row r="3" spans="1:13" x14ac:dyDescent="0.35">
      <c r="A3" s="20" t="s">
        <v>4</v>
      </c>
      <c r="B3" s="20"/>
      <c r="C3" s="20"/>
      <c r="D3" s="20"/>
      <c r="E3" s="21"/>
      <c r="F3" s="22"/>
      <c r="G3" s="23"/>
      <c r="H3" s="20" t="s">
        <v>6</v>
      </c>
      <c r="I3" s="20"/>
      <c r="J3" s="20"/>
      <c r="K3" s="20" t="s">
        <v>42</v>
      </c>
      <c r="L3" s="20"/>
      <c r="M3" s="20"/>
    </row>
    <row r="4" spans="1:13" x14ac:dyDescent="0.35">
      <c r="A4" s="4" t="s">
        <v>0</v>
      </c>
      <c r="B4" s="13" t="s">
        <v>1</v>
      </c>
      <c r="C4" s="13" t="s">
        <v>2</v>
      </c>
      <c r="D4" s="13" t="s">
        <v>3</v>
      </c>
      <c r="E4" s="13" t="s">
        <v>1</v>
      </c>
      <c r="F4" s="13" t="s">
        <v>2</v>
      </c>
      <c r="G4" s="13" t="s">
        <v>3</v>
      </c>
      <c r="H4" s="13" t="s">
        <v>1</v>
      </c>
      <c r="I4" s="13" t="s">
        <v>2</v>
      </c>
      <c r="J4" s="13" t="s">
        <v>3</v>
      </c>
      <c r="K4" s="13" t="s">
        <v>1</v>
      </c>
      <c r="L4" s="13" t="s">
        <v>2</v>
      </c>
      <c r="M4" s="13" t="s">
        <v>3</v>
      </c>
    </row>
    <row r="5" spans="1:13" x14ac:dyDescent="0.35">
      <c r="A5" s="5">
        <v>1</v>
      </c>
      <c r="B5" s="6">
        <v>6</v>
      </c>
      <c r="C5" s="6">
        <v>5</v>
      </c>
      <c r="D5" s="6">
        <v>6</v>
      </c>
      <c r="E5" s="6">
        <f>POWER(B5, 2)</f>
        <v>36</v>
      </c>
      <c r="F5" s="6">
        <f>POWER(C5, 2)</f>
        <v>25</v>
      </c>
      <c r="G5" s="6">
        <f>POWER(D5, 2)</f>
        <v>36</v>
      </c>
      <c r="H5" s="2">
        <f>B5 - B$20</f>
        <v>-0.63636363636363669</v>
      </c>
      <c r="I5" s="2">
        <f>C5-C$20</f>
        <v>-0.91666666666666696</v>
      </c>
      <c r="J5" s="2">
        <f>D5-D$20</f>
        <v>-1.5</v>
      </c>
      <c r="K5" s="2">
        <f>H5^2</f>
        <v>0.40495867768595084</v>
      </c>
      <c r="L5" s="2">
        <f>I5^2</f>
        <v>0.84027777777777835</v>
      </c>
      <c r="M5" s="2">
        <f>J5^2</f>
        <v>2.25</v>
      </c>
    </row>
    <row r="6" spans="1:13" x14ac:dyDescent="0.35">
      <c r="A6" s="5">
        <v>2</v>
      </c>
      <c r="B6" s="6">
        <v>8</v>
      </c>
      <c r="C6" s="6">
        <v>6</v>
      </c>
      <c r="D6" s="6">
        <v>9</v>
      </c>
      <c r="E6" s="6">
        <f t="shared" ref="E6:E15" si="0">POWER(B6, 2)</f>
        <v>64</v>
      </c>
      <c r="F6" s="6">
        <f t="shared" ref="F6:F16" si="1">POWER(C6, 2)</f>
        <v>36</v>
      </c>
      <c r="G6" s="6">
        <f t="shared" ref="G6:G16" si="2">POWER(D6, 2)</f>
        <v>81</v>
      </c>
      <c r="H6" s="2">
        <f t="shared" ref="H6:H15" si="3">B6 - B$20</f>
        <v>1.3636363636363633</v>
      </c>
      <c r="I6" s="2">
        <f t="shared" ref="I6:I16" si="4">C6-C$20</f>
        <v>8.3333333333333037E-2</v>
      </c>
      <c r="J6" s="2">
        <f t="shared" ref="J6:J16" si="5">D6-D$20</f>
        <v>1.5</v>
      </c>
      <c r="K6" s="2">
        <f t="shared" ref="K6:K15" si="6">H6^2</f>
        <v>1.8595041322314041</v>
      </c>
      <c r="L6" s="2">
        <f t="shared" ref="L6:L16" si="7">I6^2</f>
        <v>6.9444444444443955E-3</v>
      </c>
      <c r="M6" s="2">
        <f t="shared" ref="M6:M16" si="8">J6^2</f>
        <v>2.25</v>
      </c>
    </row>
    <row r="7" spans="1:13" x14ac:dyDescent="0.35">
      <c r="A7" s="5">
        <v>3</v>
      </c>
      <c r="B7" s="6">
        <v>5</v>
      </c>
      <c r="C7" s="6">
        <v>6</v>
      </c>
      <c r="D7" s="6">
        <v>8</v>
      </c>
      <c r="E7" s="6">
        <f t="shared" si="0"/>
        <v>25</v>
      </c>
      <c r="F7" s="6">
        <f t="shared" si="1"/>
        <v>36</v>
      </c>
      <c r="G7" s="6">
        <f t="shared" si="2"/>
        <v>64</v>
      </c>
      <c r="H7" s="2">
        <f t="shared" si="3"/>
        <v>-1.6363636363636367</v>
      </c>
      <c r="I7" s="2">
        <f t="shared" si="4"/>
        <v>8.3333333333333037E-2</v>
      </c>
      <c r="J7" s="2">
        <f t="shared" si="5"/>
        <v>0.5</v>
      </c>
      <c r="K7" s="2">
        <f t="shared" si="6"/>
        <v>2.677685950413224</v>
      </c>
      <c r="L7" s="2">
        <f t="shared" si="7"/>
        <v>6.9444444444443955E-3</v>
      </c>
      <c r="M7" s="2">
        <f t="shared" si="8"/>
        <v>0.25</v>
      </c>
    </row>
    <row r="8" spans="1:13" x14ac:dyDescent="0.35">
      <c r="A8" s="5">
        <v>4</v>
      </c>
      <c r="B8" s="6">
        <v>7</v>
      </c>
      <c r="C8" s="6">
        <v>7</v>
      </c>
      <c r="D8" s="6">
        <v>7</v>
      </c>
      <c r="E8" s="6">
        <f t="shared" si="0"/>
        <v>49</v>
      </c>
      <c r="F8" s="6">
        <f t="shared" si="1"/>
        <v>49</v>
      </c>
      <c r="G8" s="6">
        <f t="shared" si="2"/>
        <v>49</v>
      </c>
      <c r="H8" s="2">
        <f t="shared" si="3"/>
        <v>0.36363636363636331</v>
      </c>
      <c r="I8" s="2">
        <f t="shared" si="4"/>
        <v>1.083333333333333</v>
      </c>
      <c r="J8" s="2">
        <f t="shared" si="5"/>
        <v>-0.5</v>
      </c>
      <c r="K8" s="2">
        <f t="shared" si="6"/>
        <v>0.13223140495867744</v>
      </c>
      <c r="L8" s="2">
        <f t="shared" si="7"/>
        <v>1.1736111111111105</v>
      </c>
      <c r="M8" s="2">
        <f t="shared" si="8"/>
        <v>0.25</v>
      </c>
    </row>
    <row r="9" spans="1:13" x14ac:dyDescent="0.35">
      <c r="A9" s="5">
        <v>5</v>
      </c>
      <c r="B9" s="6">
        <v>7</v>
      </c>
      <c r="C9" s="6">
        <v>5</v>
      </c>
      <c r="D9" s="6">
        <v>8</v>
      </c>
      <c r="E9" s="6">
        <f t="shared" si="0"/>
        <v>49</v>
      </c>
      <c r="F9" s="6">
        <f t="shared" si="1"/>
        <v>25</v>
      </c>
      <c r="G9" s="6">
        <f t="shared" si="2"/>
        <v>64</v>
      </c>
      <c r="H9" s="2">
        <f t="shared" si="3"/>
        <v>0.36363636363636331</v>
      </c>
      <c r="I9" s="2">
        <f t="shared" si="4"/>
        <v>-0.91666666666666696</v>
      </c>
      <c r="J9" s="2">
        <f t="shared" si="5"/>
        <v>0.5</v>
      </c>
      <c r="K9" s="2">
        <f t="shared" si="6"/>
        <v>0.13223140495867744</v>
      </c>
      <c r="L9" s="2">
        <f t="shared" si="7"/>
        <v>0.84027777777777835</v>
      </c>
      <c r="M9" s="2">
        <f t="shared" si="8"/>
        <v>0.25</v>
      </c>
    </row>
    <row r="10" spans="1:13" x14ac:dyDescent="0.35">
      <c r="A10" s="5">
        <v>6</v>
      </c>
      <c r="B10" s="6">
        <v>6</v>
      </c>
      <c r="C10" s="6">
        <v>5</v>
      </c>
      <c r="D10" s="6">
        <v>9</v>
      </c>
      <c r="E10" s="6">
        <f t="shared" si="0"/>
        <v>36</v>
      </c>
      <c r="F10" s="6">
        <f t="shared" si="1"/>
        <v>25</v>
      </c>
      <c r="G10" s="6">
        <f t="shared" si="2"/>
        <v>81</v>
      </c>
      <c r="H10" s="2">
        <f t="shared" si="3"/>
        <v>-0.63636363636363669</v>
      </c>
      <c r="I10" s="2">
        <f t="shared" si="4"/>
        <v>-0.91666666666666696</v>
      </c>
      <c r="J10" s="2">
        <f t="shared" si="5"/>
        <v>1.5</v>
      </c>
      <c r="K10" s="2">
        <f t="shared" si="6"/>
        <v>0.40495867768595084</v>
      </c>
      <c r="L10" s="2">
        <f t="shared" si="7"/>
        <v>0.84027777777777835</v>
      </c>
      <c r="M10" s="2">
        <f t="shared" si="8"/>
        <v>2.25</v>
      </c>
    </row>
    <row r="11" spans="1:13" x14ac:dyDescent="0.35">
      <c r="A11" s="5">
        <v>7</v>
      </c>
      <c r="B11" s="6">
        <v>6</v>
      </c>
      <c r="C11" s="6">
        <v>5</v>
      </c>
      <c r="D11" s="6">
        <v>6</v>
      </c>
      <c r="E11" s="6">
        <f t="shared" si="0"/>
        <v>36</v>
      </c>
      <c r="F11" s="6">
        <f t="shared" si="1"/>
        <v>25</v>
      </c>
      <c r="G11" s="6">
        <f t="shared" si="2"/>
        <v>36</v>
      </c>
      <c r="H11" s="2">
        <f t="shared" si="3"/>
        <v>-0.63636363636363669</v>
      </c>
      <c r="I11" s="2">
        <f t="shared" si="4"/>
        <v>-0.91666666666666696</v>
      </c>
      <c r="J11" s="2">
        <f t="shared" si="5"/>
        <v>-1.5</v>
      </c>
      <c r="K11" s="2">
        <f t="shared" si="6"/>
        <v>0.40495867768595084</v>
      </c>
      <c r="L11" s="2">
        <f t="shared" si="7"/>
        <v>0.84027777777777835</v>
      </c>
      <c r="M11" s="2">
        <f t="shared" si="8"/>
        <v>2.25</v>
      </c>
    </row>
    <row r="12" spans="1:13" x14ac:dyDescent="0.35">
      <c r="A12" s="5">
        <v>8</v>
      </c>
      <c r="B12" s="6">
        <v>8</v>
      </c>
      <c r="C12" s="6">
        <v>6</v>
      </c>
      <c r="D12" s="6">
        <v>6</v>
      </c>
      <c r="E12" s="6">
        <f t="shared" si="0"/>
        <v>64</v>
      </c>
      <c r="F12" s="6">
        <f t="shared" si="1"/>
        <v>36</v>
      </c>
      <c r="G12" s="6">
        <f t="shared" si="2"/>
        <v>36</v>
      </c>
      <c r="H12" s="2">
        <f t="shared" si="3"/>
        <v>1.3636363636363633</v>
      </c>
      <c r="I12" s="2">
        <f t="shared" si="4"/>
        <v>8.3333333333333037E-2</v>
      </c>
      <c r="J12" s="2">
        <f t="shared" si="5"/>
        <v>-1.5</v>
      </c>
      <c r="K12" s="2">
        <f t="shared" si="6"/>
        <v>1.8595041322314041</v>
      </c>
      <c r="L12" s="2">
        <f t="shared" si="7"/>
        <v>6.9444444444443955E-3</v>
      </c>
      <c r="M12" s="2">
        <f t="shared" si="8"/>
        <v>2.25</v>
      </c>
    </row>
    <row r="13" spans="1:13" x14ac:dyDescent="0.35">
      <c r="A13" s="5">
        <v>9</v>
      </c>
      <c r="B13" s="6">
        <v>7</v>
      </c>
      <c r="C13" s="6">
        <v>5</v>
      </c>
      <c r="D13" s="6">
        <v>9</v>
      </c>
      <c r="E13" s="6">
        <f t="shared" si="0"/>
        <v>49</v>
      </c>
      <c r="F13" s="6">
        <f t="shared" si="1"/>
        <v>25</v>
      </c>
      <c r="G13" s="6">
        <f t="shared" si="2"/>
        <v>81</v>
      </c>
      <c r="H13" s="2">
        <f t="shared" si="3"/>
        <v>0.36363636363636331</v>
      </c>
      <c r="I13" s="2">
        <f t="shared" si="4"/>
        <v>-0.91666666666666696</v>
      </c>
      <c r="J13" s="2">
        <f t="shared" si="5"/>
        <v>1.5</v>
      </c>
      <c r="K13" s="2">
        <f t="shared" si="6"/>
        <v>0.13223140495867744</v>
      </c>
      <c r="L13" s="2">
        <f t="shared" si="7"/>
        <v>0.84027777777777835</v>
      </c>
      <c r="M13" s="2">
        <f t="shared" si="8"/>
        <v>2.25</v>
      </c>
    </row>
    <row r="14" spans="1:13" x14ac:dyDescent="0.35">
      <c r="A14" s="5">
        <v>10</v>
      </c>
      <c r="B14" s="6">
        <v>6</v>
      </c>
      <c r="C14" s="6">
        <v>6</v>
      </c>
      <c r="D14" s="6">
        <v>8</v>
      </c>
      <c r="E14" s="6">
        <f t="shared" si="0"/>
        <v>36</v>
      </c>
      <c r="F14" s="6">
        <f t="shared" si="1"/>
        <v>36</v>
      </c>
      <c r="G14" s="6">
        <f t="shared" si="2"/>
        <v>64</v>
      </c>
      <c r="H14" s="2">
        <f t="shared" si="3"/>
        <v>-0.63636363636363669</v>
      </c>
      <c r="I14" s="2">
        <f t="shared" si="4"/>
        <v>8.3333333333333037E-2</v>
      </c>
      <c r="J14" s="2">
        <f t="shared" si="5"/>
        <v>0.5</v>
      </c>
      <c r="K14" s="2">
        <f t="shared" si="6"/>
        <v>0.40495867768595084</v>
      </c>
      <c r="L14" s="2">
        <f t="shared" si="7"/>
        <v>6.9444444444443955E-3</v>
      </c>
      <c r="M14" s="2">
        <f t="shared" si="8"/>
        <v>0.25</v>
      </c>
    </row>
    <row r="15" spans="1:13" x14ac:dyDescent="0.35">
      <c r="A15" s="5">
        <v>11</v>
      </c>
      <c r="B15" s="6">
        <v>7</v>
      </c>
      <c r="C15" s="6">
        <v>8</v>
      </c>
      <c r="D15" s="6">
        <v>6</v>
      </c>
      <c r="E15" s="6">
        <f t="shared" si="0"/>
        <v>49</v>
      </c>
      <c r="F15" s="6">
        <f t="shared" si="1"/>
        <v>64</v>
      </c>
      <c r="G15" s="6">
        <f t="shared" si="2"/>
        <v>36</v>
      </c>
      <c r="H15" s="2">
        <f t="shared" si="3"/>
        <v>0.36363636363636331</v>
      </c>
      <c r="I15" s="2">
        <f t="shared" si="4"/>
        <v>2.083333333333333</v>
      </c>
      <c r="J15" s="2">
        <f t="shared" si="5"/>
        <v>-1.5</v>
      </c>
      <c r="K15" s="2">
        <f t="shared" si="6"/>
        <v>0.13223140495867744</v>
      </c>
      <c r="L15" s="2">
        <f t="shared" si="7"/>
        <v>4.3402777777777768</v>
      </c>
      <c r="M15" s="2">
        <f t="shared" si="8"/>
        <v>2.25</v>
      </c>
    </row>
    <row r="16" spans="1:13" x14ac:dyDescent="0.35">
      <c r="A16" s="5">
        <v>12</v>
      </c>
      <c r="B16" s="6"/>
      <c r="C16" s="6">
        <v>7</v>
      </c>
      <c r="D16" s="6">
        <v>8</v>
      </c>
      <c r="E16" s="6"/>
      <c r="F16" s="6">
        <f t="shared" si="1"/>
        <v>49</v>
      </c>
      <c r="G16" s="6">
        <f t="shared" si="2"/>
        <v>64</v>
      </c>
      <c r="H16" s="2"/>
      <c r="I16" s="2">
        <f t="shared" si="4"/>
        <v>1.083333333333333</v>
      </c>
      <c r="J16" s="2">
        <f t="shared" si="5"/>
        <v>0.5</v>
      </c>
      <c r="K16" s="2"/>
      <c r="L16" s="2">
        <f t="shared" si="7"/>
        <v>1.1736111111111105</v>
      </c>
      <c r="M16" s="2">
        <f t="shared" si="8"/>
        <v>0.25</v>
      </c>
    </row>
    <row r="17" spans="1:14" x14ac:dyDescent="0.35">
      <c r="A17" s="7"/>
      <c r="B17" s="8">
        <f t="shared" ref="B17:K17" si="9">COUNT(B5:B16)</f>
        <v>11</v>
      </c>
      <c r="C17" s="8">
        <f t="shared" si="9"/>
        <v>12</v>
      </c>
      <c r="D17" s="8">
        <f t="shared" si="9"/>
        <v>12</v>
      </c>
      <c r="E17" s="8">
        <f t="shared" si="9"/>
        <v>11</v>
      </c>
      <c r="F17" s="8">
        <f t="shared" si="9"/>
        <v>12</v>
      </c>
      <c r="G17" s="8">
        <f t="shared" si="9"/>
        <v>12</v>
      </c>
      <c r="H17" s="3">
        <f t="shared" si="9"/>
        <v>11</v>
      </c>
      <c r="I17" s="3">
        <f t="shared" si="9"/>
        <v>12</v>
      </c>
      <c r="J17" s="3">
        <f t="shared" si="9"/>
        <v>12</v>
      </c>
      <c r="K17" s="3">
        <f t="shared" si="9"/>
        <v>11</v>
      </c>
      <c r="L17" s="3">
        <f t="shared" ref="L17:M17" si="10">COUNT(L5:L16)</f>
        <v>12</v>
      </c>
      <c r="M17" s="3">
        <f t="shared" si="10"/>
        <v>12</v>
      </c>
      <c r="N17" s="14">
        <f>SUM(B17:D17)</f>
        <v>35</v>
      </c>
    </row>
    <row r="18" spans="1:14" x14ac:dyDescent="0.35">
      <c r="A18" s="9"/>
      <c r="B18" s="8">
        <f t="shared" ref="B18:G18" si="11">SUM(B5:B16)</f>
        <v>73</v>
      </c>
      <c r="C18" s="8">
        <f t="shared" si="11"/>
        <v>71</v>
      </c>
      <c r="D18" s="8">
        <f t="shared" si="11"/>
        <v>90</v>
      </c>
      <c r="E18" s="8">
        <f t="shared" si="11"/>
        <v>493</v>
      </c>
      <c r="F18" s="8">
        <f t="shared" si="11"/>
        <v>431</v>
      </c>
      <c r="G18" s="8">
        <f t="shared" si="11"/>
        <v>692</v>
      </c>
      <c r="H18" s="3"/>
      <c r="I18" s="3"/>
      <c r="J18" s="3"/>
      <c r="K18" s="3">
        <f>SUM(K5:K15)</f>
        <v>8.5454545454545432</v>
      </c>
      <c r="L18" s="3">
        <f>SUM(L5:L16)</f>
        <v>10.916666666666668</v>
      </c>
      <c r="M18" s="3">
        <f>SUM(M5:M16)</f>
        <v>17</v>
      </c>
      <c r="N18" s="14">
        <f>SUM(B18:D18)</f>
        <v>234</v>
      </c>
    </row>
    <row r="19" spans="1:14" x14ac:dyDescent="0.35">
      <c r="A19" s="9"/>
      <c r="B19" s="8">
        <f>POWER(B18, 2)</f>
        <v>5329</v>
      </c>
      <c r="C19" s="8">
        <f t="shared" ref="C19:D19" si="12">POWER(C18, 2)</f>
        <v>5041</v>
      </c>
      <c r="D19" s="8">
        <f t="shared" si="12"/>
        <v>8100</v>
      </c>
      <c r="E19" s="8">
        <f>POWER(E18,2)</f>
        <v>243049</v>
      </c>
      <c r="F19" s="8">
        <f t="shared" ref="F19:G19" si="13">POWER(F18,2)</f>
        <v>185761</v>
      </c>
      <c r="G19" s="8">
        <f t="shared" si="13"/>
        <v>478864</v>
      </c>
      <c r="H19" s="3"/>
      <c r="I19" s="3"/>
      <c r="J19" s="3"/>
      <c r="K19" s="3"/>
      <c r="L19" s="3"/>
      <c r="M19" s="3"/>
      <c r="N19" s="14">
        <f>POWER(N18,2)</f>
        <v>54756</v>
      </c>
    </row>
    <row r="20" spans="1:14" x14ac:dyDescent="0.35">
      <c r="A20" s="7"/>
      <c r="B20" s="8">
        <f>B18/B17</f>
        <v>6.6363636363636367</v>
      </c>
      <c r="C20" s="8">
        <f t="shared" ref="C20:D20" si="14">C18/C17</f>
        <v>5.916666666666667</v>
      </c>
      <c r="D20" s="8">
        <f t="shared" si="14"/>
        <v>7.5</v>
      </c>
      <c r="E20" s="8">
        <f>E18/E17</f>
        <v>44.81818181818182</v>
      </c>
      <c r="F20" s="8">
        <f t="shared" ref="F20:G20" si="15">F18/F17</f>
        <v>35.916666666666664</v>
      </c>
      <c r="G20" s="8">
        <f t="shared" si="15"/>
        <v>57.666666666666664</v>
      </c>
      <c r="H20" s="3"/>
      <c r="I20" s="3"/>
      <c r="J20" s="3"/>
      <c r="K20" s="3"/>
      <c r="L20" s="3"/>
      <c r="M20" s="3"/>
      <c r="N20" s="15">
        <f>N18/N17</f>
        <v>6.6857142857142859</v>
      </c>
    </row>
    <row r="21" spans="1:14" x14ac:dyDescent="0.35">
      <c r="A21" s="7"/>
      <c r="B21" s="8">
        <f t="shared" ref="B21:C21" si="16">B19/B17</f>
        <v>484.45454545454544</v>
      </c>
      <c r="C21" s="8">
        <f t="shared" si="16"/>
        <v>420.08333333333331</v>
      </c>
      <c r="D21" s="8">
        <f>D19/D17</f>
        <v>675</v>
      </c>
      <c r="E21" s="8">
        <f>E19/E17</f>
        <v>22095.363636363636</v>
      </c>
      <c r="F21" s="8">
        <f t="shared" ref="F21:G21" si="17">F19/F17</f>
        <v>15480.083333333334</v>
      </c>
      <c r="G21" s="8">
        <f t="shared" si="17"/>
        <v>39905.333333333336</v>
      </c>
      <c r="H21" s="3"/>
      <c r="I21" s="3"/>
      <c r="J21" s="3"/>
      <c r="K21" s="3"/>
      <c r="L21" s="3"/>
      <c r="M21" s="3"/>
      <c r="N21" s="15">
        <f>N19/N17</f>
        <v>1564.4571428571428</v>
      </c>
    </row>
    <row r="22" spans="1:14" x14ac:dyDescent="0.35">
      <c r="A22" s="10" t="s">
        <v>5</v>
      </c>
      <c r="B22" s="11"/>
      <c r="C22" s="11"/>
      <c r="D22" s="11"/>
      <c r="E22" s="11"/>
      <c r="F22" s="11"/>
      <c r="G22" s="11"/>
      <c r="H22" s="11"/>
      <c r="I22" s="11"/>
      <c r="J22" s="11"/>
      <c r="K22" s="10">
        <f>K18/K17</f>
        <v>0.77685950413223115</v>
      </c>
      <c r="L22" s="10">
        <f>L18/L17</f>
        <v>0.90972222222222232</v>
      </c>
      <c r="M22" s="10">
        <f>M18/M17</f>
        <v>1.4166666666666667</v>
      </c>
    </row>
    <row r="23" spans="1:14" x14ac:dyDescent="0.35">
      <c r="A23" s="10" t="s">
        <v>43</v>
      </c>
      <c r="B23" s="11"/>
      <c r="C23" s="11"/>
      <c r="D23" s="11"/>
      <c r="E23" s="11"/>
      <c r="F23" s="11"/>
      <c r="G23" s="11"/>
      <c r="H23" s="11"/>
      <c r="I23" s="11"/>
      <c r="J23" s="11"/>
      <c r="K23" s="10">
        <f>SQRT(K22)</f>
        <v>0.88139633771205972</v>
      </c>
      <c r="L23" s="10">
        <f t="shared" ref="L23:M23" si="18">SQRT(L22)</f>
        <v>0.95379359518829976</v>
      </c>
      <c r="M23" s="10">
        <f t="shared" si="18"/>
        <v>1.1902380714238083</v>
      </c>
    </row>
    <row r="25" spans="1:14" x14ac:dyDescent="0.35">
      <c r="A25" t="s">
        <v>26</v>
      </c>
    </row>
    <row r="26" spans="1:14" x14ac:dyDescent="0.35">
      <c r="A26" t="s">
        <v>27</v>
      </c>
    </row>
    <row r="27" spans="1:14" x14ac:dyDescent="0.35">
      <c r="A27" t="s">
        <v>10</v>
      </c>
    </row>
    <row r="29" spans="1:14" x14ac:dyDescent="0.35">
      <c r="A29" s="1" t="s">
        <v>7</v>
      </c>
    </row>
    <row r="30" spans="1:14" x14ac:dyDescent="0.35">
      <c r="A30" s="1" t="s">
        <v>8</v>
      </c>
      <c r="B30" t="s">
        <v>28</v>
      </c>
    </row>
    <row r="31" spans="1:14" x14ac:dyDescent="0.35">
      <c r="A31" s="1" t="s">
        <v>9</v>
      </c>
      <c r="B31" t="s">
        <v>29</v>
      </c>
    </row>
    <row r="33" spans="1:14" x14ac:dyDescent="0.35">
      <c r="A33" s="1" t="s">
        <v>11</v>
      </c>
    </row>
    <row r="34" spans="1:14" x14ac:dyDescent="0.35">
      <c r="A34" s="1" t="s">
        <v>8</v>
      </c>
      <c r="B34" t="s">
        <v>12</v>
      </c>
    </row>
    <row r="35" spans="1:14" x14ac:dyDescent="0.35">
      <c r="A35" s="1" t="s">
        <v>9</v>
      </c>
      <c r="B35" t="s">
        <v>13</v>
      </c>
    </row>
    <row r="37" spans="1:14" x14ac:dyDescent="0.35">
      <c r="A37" s="1" t="s">
        <v>30</v>
      </c>
      <c r="G37" s="1" t="s">
        <v>39</v>
      </c>
    </row>
    <row r="39" spans="1:14" x14ac:dyDescent="0.35">
      <c r="C39" s="12"/>
      <c r="D39" s="12" t="s">
        <v>14</v>
      </c>
      <c r="E39">
        <f>SUM(B21:D21) - (POWER(N18,2) /N17)</f>
        <v>15.080735930735955</v>
      </c>
      <c r="H39" s="12" t="s">
        <v>14</v>
      </c>
      <c r="I39">
        <f>E54/C59</f>
        <v>1.139441287878789</v>
      </c>
    </row>
    <row r="42" spans="1:14" x14ac:dyDescent="0.35">
      <c r="A42" s="1" t="s">
        <v>15</v>
      </c>
      <c r="G42" s="1"/>
    </row>
    <row r="44" spans="1:14" x14ac:dyDescent="0.35">
      <c r="B44" s="12" t="s">
        <v>14</v>
      </c>
      <c r="C44" s="12">
        <v>2</v>
      </c>
      <c r="H44" s="12" t="s">
        <v>14</v>
      </c>
      <c r="I44">
        <f>C49/I39</f>
        <v>6.6176011397702696</v>
      </c>
    </row>
    <row r="47" spans="1:14" x14ac:dyDescent="0.35">
      <c r="A47" s="1" t="s">
        <v>16</v>
      </c>
      <c r="G47" s="1" t="s">
        <v>18</v>
      </c>
      <c r="N47" s="1" t="s">
        <v>19</v>
      </c>
    </row>
    <row r="49" spans="1:18" x14ac:dyDescent="0.35">
      <c r="B49" s="12" t="s">
        <v>14</v>
      </c>
      <c r="C49">
        <f>E39/C44</f>
        <v>7.5403679653679774</v>
      </c>
      <c r="N49" s="16" t="s">
        <v>32</v>
      </c>
      <c r="O49" s="16" t="s">
        <v>33</v>
      </c>
      <c r="P49" s="16" t="s">
        <v>34</v>
      </c>
      <c r="Q49" s="16" t="s">
        <v>35</v>
      </c>
      <c r="R49" s="16"/>
    </row>
    <row r="50" spans="1:18" x14ac:dyDescent="0.35">
      <c r="N50" s="17" t="s">
        <v>36</v>
      </c>
      <c r="O50" s="17">
        <f>E39</f>
        <v>15.080735930735955</v>
      </c>
      <c r="P50" s="17">
        <f>C44</f>
        <v>2</v>
      </c>
      <c r="Q50" s="17">
        <f>C49</f>
        <v>7.5403679653679774</v>
      </c>
      <c r="R50" s="17">
        <f>I44</f>
        <v>6.6176011397702696</v>
      </c>
    </row>
    <row r="51" spans="1:18" x14ac:dyDescent="0.35">
      <c r="N51" s="17" t="s">
        <v>37</v>
      </c>
      <c r="O51" s="17">
        <f>E54</f>
        <v>36.462121212121247</v>
      </c>
      <c r="P51" s="17">
        <f>C59</f>
        <v>32</v>
      </c>
      <c r="Q51" s="17">
        <f>I39</f>
        <v>1.139441287878789</v>
      </c>
      <c r="R51" s="17"/>
    </row>
    <row r="52" spans="1:18" x14ac:dyDescent="0.35">
      <c r="A52" s="1" t="s">
        <v>31</v>
      </c>
      <c r="H52">
        <v>3.29</v>
      </c>
      <c r="N52" s="17" t="s">
        <v>38</v>
      </c>
      <c r="O52" s="17">
        <f>O50+O51</f>
        <v>51.542857142857201</v>
      </c>
      <c r="P52" s="17">
        <f>P50+P51</f>
        <v>34</v>
      </c>
      <c r="Q52" s="17"/>
      <c r="R52" s="17"/>
    </row>
    <row r="54" spans="1:18" x14ac:dyDescent="0.35">
      <c r="C54" s="12"/>
      <c r="D54" s="12" t="s">
        <v>14</v>
      </c>
      <c r="E54">
        <f>SUM(E18:G18) - SUM(B21:D21)</f>
        <v>36.462121212121247</v>
      </c>
      <c r="K54" s="12" t="s">
        <v>14</v>
      </c>
      <c r="L54">
        <v>3.29</v>
      </c>
    </row>
    <row r="57" spans="1:18" x14ac:dyDescent="0.35">
      <c r="A57" s="1" t="s">
        <v>17</v>
      </c>
    </row>
    <row r="59" spans="1:18" x14ac:dyDescent="0.35">
      <c r="B59" s="12" t="s">
        <v>14</v>
      </c>
      <c r="C59">
        <f>N17 - 3</f>
        <v>32</v>
      </c>
    </row>
    <row r="62" spans="1:18" x14ac:dyDescent="0.35">
      <c r="A62" s="1" t="s">
        <v>20</v>
      </c>
    </row>
    <row r="63" spans="1:18" x14ac:dyDescent="0.35">
      <c r="A63" t="s">
        <v>22</v>
      </c>
      <c r="D63" t="s">
        <v>40</v>
      </c>
      <c r="I63" t="s">
        <v>41</v>
      </c>
    </row>
    <row r="65" spans="1:6" x14ac:dyDescent="0.35">
      <c r="A65" t="s">
        <v>23</v>
      </c>
      <c r="C65">
        <f>I44</f>
        <v>6.6176011397702696</v>
      </c>
      <c r="D65" t="s">
        <v>24</v>
      </c>
      <c r="E65">
        <f>H52</f>
        <v>3.29</v>
      </c>
      <c r="F65" t="s">
        <v>44</v>
      </c>
    </row>
    <row r="67" spans="1:6" x14ac:dyDescent="0.35">
      <c r="A67" s="1" t="s">
        <v>21</v>
      </c>
    </row>
    <row r="68" spans="1:6" x14ac:dyDescent="0.35">
      <c r="A68" t="s">
        <v>45</v>
      </c>
    </row>
    <row r="69" spans="1:6" x14ac:dyDescent="0.35">
      <c r="A69" t="s">
        <v>46</v>
      </c>
    </row>
    <row r="72" spans="1:6" x14ac:dyDescent="0.35">
      <c r="A72" s="16" t="s">
        <v>47</v>
      </c>
      <c r="B72" s="17"/>
      <c r="C72" s="24" t="s">
        <v>50</v>
      </c>
      <c r="D72" s="25"/>
    </row>
    <row r="73" spans="1:6" x14ac:dyDescent="0.35">
      <c r="A73" s="17" t="s">
        <v>48</v>
      </c>
      <c r="B73" s="17"/>
      <c r="C73" s="18" t="s">
        <v>51</v>
      </c>
      <c r="D73" s="19"/>
    </row>
    <row r="74" spans="1:6" x14ac:dyDescent="0.35">
      <c r="A74" s="17" t="s">
        <v>49</v>
      </c>
      <c r="B74" s="17"/>
      <c r="C74" s="18" t="s">
        <v>52</v>
      </c>
      <c r="D74" s="19"/>
    </row>
  </sheetData>
  <mergeCells count="7">
    <mergeCell ref="K3:M3"/>
    <mergeCell ref="C72:D72"/>
    <mergeCell ref="C73:D73"/>
    <mergeCell ref="C74:D74"/>
    <mergeCell ref="A3:D3"/>
    <mergeCell ref="H3:J3"/>
    <mergeCell ref="E3:G3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rahmat 687</cp:lastModifiedBy>
  <dcterms:created xsi:type="dcterms:W3CDTF">2022-04-26T06:45:09Z</dcterms:created>
  <dcterms:modified xsi:type="dcterms:W3CDTF">2024-04-30T05:09:16Z</dcterms:modified>
</cp:coreProperties>
</file>