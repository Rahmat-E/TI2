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ownloads\"/>
    </mc:Choice>
  </mc:AlternateContent>
  <xr:revisionPtr revIDLastSave="0" documentId="13_ncr:1_{64254F5E-746D-48F5-BE2D-01BBC91F8706}" xr6:coauthVersionLast="47" xr6:coauthVersionMax="47" xr10:uidLastSave="{00000000-0000-0000-0000-000000000000}"/>
  <bookViews>
    <workbookView xWindow="-90" yWindow="0" windowWidth="9780" windowHeight="10170" xr2:uid="{DDC80878-BCA5-4AD7-BF6B-3E78E8ED2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1" l="1"/>
  <c r="E78" i="1"/>
  <c r="B78" i="1"/>
  <c r="C72" i="1"/>
  <c r="C70" i="1"/>
  <c r="G65" i="1"/>
  <c r="G62" i="1"/>
  <c r="C65" i="1"/>
  <c r="C62" i="1"/>
  <c r="E57" i="1"/>
  <c r="D55" i="1"/>
  <c r="D53" i="1"/>
  <c r="D51" i="1"/>
  <c r="D49" i="1"/>
  <c r="E44" i="1"/>
  <c r="F41" i="1"/>
  <c r="F38" i="1"/>
  <c r="O9" i="1"/>
  <c r="O8" i="1"/>
  <c r="O7" i="1"/>
  <c r="O6" i="1"/>
  <c r="O5" i="1"/>
  <c r="M5" i="1"/>
  <c r="C15" i="1"/>
  <c r="D15" i="1"/>
  <c r="E15" i="1"/>
  <c r="F15" i="1"/>
  <c r="B15" i="1"/>
  <c r="C14" i="1"/>
  <c r="D14" i="1"/>
  <c r="E14" i="1"/>
  <c r="F14" i="1"/>
  <c r="B14" i="1"/>
  <c r="I11" i="1"/>
  <c r="I12" i="1"/>
  <c r="I13" i="1"/>
  <c r="H11" i="1"/>
  <c r="H12" i="1"/>
  <c r="H13" i="1"/>
  <c r="H10" i="1"/>
  <c r="H14" i="1" s="1"/>
  <c r="H15" i="1" s="1"/>
  <c r="G11" i="1"/>
  <c r="G12" i="1"/>
  <c r="G13" i="1"/>
  <c r="G10" i="1"/>
  <c r="G14" i="1" s="1"/>
  <c r="G15" i="1" s="1"/>
  <c r="E11" i="1"/>
  <c r="E12" i="1"/>
  <c r="E13" i="1"/>
  <c r="E10" i="1"/>
  <c r="C11" i="1"/>
  <c r="C12" i="1"/>
  <c r="C13" i="1"/>
  <c r="C10" i="1"/>
  <c r="C9" i="1"/>
  <c r="D9" i="1"/>
  <c r="E9" i="1"/>
  <c r="F9" i="1"/>
  <c r="G9" i="1"/>
  <c r="H9" i="1"/>
  <c r="I9" i="1"/>
  <c r="B9" i="1"/>
  <c r="I6" i="1"/>
  <c r="I7" i="1"/>
  <c r="I8" i="1"/>
  <c r="I5" i="1"/>
  <c r="H6" i="1"/>
  <c r="H7" i="1"/>
  <c r="H8" i="1"/>
  <c r="H5" i="1"/>
  <c r="G6" i="1"/>
  <c r="G7" i="1"/>
  <c r="G8" i="1"/>
  <c r="G5" i="1"/>
  <c r="E6" i="1"/>
  <c r="E7" i="1"/>
  <c r="E8" i="1"/>
  <c r="E5" i="1"/>
  <c r="C6" i="1"/>
  <c r="C7" i="1"/>
  <c r="C8" i="1"/>
  <c r="C5" i="1"/>
  <c r="I10" i="1" l="1"/>
  <c r="I14" i="1" s="1"/>
  <c r="I15" i="1" s="1"/>
  <c r="D32" i="1" s="1"/>
  <c r="F35" i="1"/>
</calcChain>
</file>

<file path=xl/sharedStrings.xml><?xml version="1.0" encoding="utf-8"?>
<sst xmlns="http://schemas.openxmlformats.org/spreadsheetml/2006/main" count="50" uniqueCount="40">
  <si>
    <t>CONTOH KASUS ANOVA FAKTORIAL 2 JALUR</t>
  </si>
  <si>
    <t>Total</t>
  </si>
  <si>
    <t xml:space="preserve">Dalam suatu penelitian eksperimen bidang psikologi sosial, peneliti akan menguji hipotesis </t>
  </si>
  <si>
    <t xml:space="preserve">tentang metode penyampaian dan jenis himbauan yang efektif untuk mengubah sikap yang </t>
  </si>
  <si>
    <t xml:space="preserve">dilandasi oleh prasangka pada para remaja. Metode penyampaian imbauan digunakan sebagai </t>
  </si>
  <si>
    <t>variabel bebas A yang dibagi menjadi 2 kategori, yaitu A1 (metode penyampaian dengan</t>
  </si>
  <si>
    <t>oleh sampel sebagai akibat dari 2 variabel bebas tersebut diukur setelah pelaksanan eksperimen.</t>
  </si>
  <si>
    <t>SOAL</t>
  </si>
  <si>
    <t>ANALISIS DATA DENGAN ANOVA FAKTORIAL 2 JALUR</t>
  </si>
  <si>
    <t>N =</t>
  </si>
  <si>
    <t>1. Menghitung jumlah kuadrat total (Jkt), antarkelompok A (JkA), antarkelompok B (JkB), interaksi antara kelompok A dan B (JkAB), dan dalam kelompok (Jkd).</t>
  </si>
  <si>
    <t xml:space="preserve">a. </t>
  </si>
  <si>
    <t>b.</t>
  </si>
  <si>
    <t>c.</t>
  </si>
  <si>
    <t>d.</t>
  </si>
  <si>
    <t>e.</t>
  </si>
  <si>
    <t>2. Menghitung derajat kebebasan (dbt), antar-A (dbA), antar-B (dbB), interaksi AxB (dbAB), dan dalam kelompok (dbD).</t>
  </si>
  <si>
    <t xml:space="preserve">b. </t>
  </si>
  <si>
    <t xml:space="preserve">d. </t>
  </si>
  <si>
    <t xml:space="preserve">e. </t>
  </si>
  <si>
    <t>3. Menghitung rata-rata kuadrat antar-A (RkA), antar-B (RkB), interaksi AxB (RkAB), dan dalam kelompok (RkD).</t>
  </si>
  <si>
    <t>5. Menentukan nilai Ftabel.</t>
  </si>
  <si>
    <t>Apabila                                     , maka ada perubahan sikap yang signifikan pada para remaja.</t>
  </si>
  <si>
    <t>Apabila                                     , maka tidak ada perubahan sikap yang signifikan pada para remaja.</t>
  </si>
  <si>
    <t>Dari hasil perhitungan pada langkah 1-5, maka dapat disimpulkan bahwa:</t>
  </si>
  <si>
    <t xml:space="preserve">berapi-api) dan A2 (metode penyampaian dengan tenang). Sementara itu, jenis himbauan </t>
  </si>
  <si>
    <t>merupakan variabel bebas B, yang akan dibagi menjadi 3 kategori, yaitu B1 (jenis himbauan religius),</t>
  </si>
  <si>
    <t xml:space="preserve"> B2 (himbauan sportif), dan B3 (jenis himbauan demokratis). Perubahan sikap (variabel terikat) yang ditunjukkan </t>
  </si>
  <si>
    <t>Dengan taraf signifikansi sebesar 0,05,                                                                                    , maka:</t>
  </si>
  <si>
    <t>6. Melakukan uji signifikansi dan penarikan kesimpulan</t>
  </si>
  <si>
    <t>4. Menghitung nilai Fa, Fb, dan Fab.</t>
  </si>
  <si>
    <t>Na1 =</t>
  </si>
  <si>
    <t xml:space="preserve">Na2 = </t>
  </si>
  <si>
    <t xml:space="preserve">Nb3 = </t>
  </si>
  <si>
    <t>Nb2 =</t>
  </si>
  <si>
    <t>Nb1 =</t>
  </si>
  <si>
    <t>Nab =</t>
  </si>
  <si>
    <t>a. Tidak terdapat perubahan sikap yang signifikan pada para remaja bila ditinjau dari metode penyampaian himbauan yang digunakan (A).</t>
  </si>
  <si>
    <t>b. Terdapat perubahan sikap yang signifikan pada para remaja bila ditinjau dari jenis-jenis himbauan yang digunakan (B).</t>
  </si>
  <si>
    <t>c. Tidak terdapat perubahan sikap yang signifikan pada para remaja bila ditinjau dari interaksi antara metode penyampaian (A) dan jenis-jenis himbauan yang digunakan (B).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</si>
</sst>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139700</xdr:rowOff>
    </xdr:from>
    <xdr:to>
      <xdr:col>0</xdr:col>
      <xdr:colOff>495300</xdr:colOff>
      <xdr:row>3</xdr:row>
      <xdr:rowOff>165100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1948216-CC2A-613A-1DFE-B0B5DC8F86B7}"/>
                </a:ext>
              </a:extLst>
            </xdr:cNvPr>
            <xdr:cNvSpPr txBox="1"/>
          </xdr:nvSpPr>
          <xdr:spPr>
            <a:xfrm>
              <a:off x="133350" y="50800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1948216-CC2A-613A-1DFE-B0B5DC8F86B7}"/>
                </a:ext>
              </a:extLst>
            </xdr:cNvPr>
            <xdr:cNvSpPr txBox="1"/>
          </xdr:nvSpPr>
          <xdr:spPr>
            <a:xfrm>
              <a:off x="133350" y="50800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endParaRPr lang="en-ID" sz="1100"/>
            </a:p>
          </xdr:txBody>
        </xdr:sp>
      </mc:Fallback>
    </mc:AlternateContent>
    <xdr:clientData/>
  </xdr:twoCellAnchor>
  <xdr:twoCellAnchor>
    <xdr:from>
      <xdr:col>1</xdr:col>
      <xdr:colOff>406400</xdr:colOff>
      <xdr:row>2</xdr:row>
      <xdr:rowOff>38100</xdr:rowOff>
    </xdr:from>
    <xdr:to>
      <xdr:col>2</xdr:col>
      <xdr:colOff>215900</xdr:colOff>
      <xdr:row>2</xdr:row>
      <xdr:rowOff>228600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6CA598-042E-196C-A4D3-E1DA4EB3494C}"/>
                </a:ext>
              </a:extLst>
            </xdr:cNvPr>
            <xdr:cNvSpPr txBox="1"/>
          </xdr:nvSpPr>
          <xdr:spPr>
            <a:xfrm>
              <a:off x="1016000" y="40640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6CA598-042E-196C-A4D3-E1DA4EB3494C}"/>
                </a:ext>
              </a:extLst>
            </xdr:cNvPr>
            <xdr:cNvSpPr txBox="1"/>
          </xdr:nvSpPr>
          <xdr:spPr>
            <a:xfrm>
              <a:off x="1016000" y="40640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𝐵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1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1</xdr:col>
      <xdr:colOff>95250</xdr:colOff>
      <xdr:row>3</xdr:row>
      <xdr:rowOff>38100</xdr:rowOff>
    </xdr:from>
    <xdr:to>
      <xdr:col>1</xdr:col>
      <xdr:colOff>514350</xdr:colOff>
      <xdr:row>3</xdr:row>
      <xdr:rowOff>260350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8E1DC3B-9BCD-40B4-8CF9-3921A25D5671}"/>
                </a:ext>
              </a:extLst>
            </xdr:cNvPr>
            <xdr:cNvSpPr txBox="1"/>
          </xdr:nvSpPr>
          <xdr:spPr>
            <a:xfrm>
              <a:off x="704850" y="6731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8E1DC3B-9BCD-40B4-8CF9-3921A25D5671}"/>
                </a:ext>
              </a:extLst>
            </xdr:cNvPr>
            <xdr:cNvSpPr txBox="1"/>
          </xdr:nvSpPr>
          <xdr:spPr>
            <a:xfrm>
              <a:off x="704850" y="6731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1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2</xdr:col>
      <xdr:colOff>101600</xdr:colOff>
      <xdr:row>3</xdr:row>
      <xdr:rowOff>31750</xdr:rowOff>
    </xdr:from>
    <xdr:to>
      <xdr:col>2</xdr:col>
      <xdr:colOff>520700</xdr:colOff>
      <xdr:row>3</xdr:row>
      <xdr:rowOff>254000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B6DDD51-C239-45FC-AA4D-799005196314}"/>
                </a:ext>
              </a:extLst>
            </xdr:cNvPr>
            <xdr:cNvSpPr txBox="1"/>
          </xdr:nvSpPr>
          <xdr:spPr>
            <a:xfrm>
              <a:off x="132080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B6DDD51-C239-45FC-AA4D-799005196314}"/>
                </a:ext>
              </a:extLst>
            </xdr:cNvPr>
            <xdr:cNvSpPr txBox="1"/>
          </xdr:nvSpPr>
          <xdr:spPr>
            <a:xfrm>
              <a:off x="132080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1</a:t>
              </a:r>
              <a:r>
                <a:rPr lang="en-ID" sz="1000" b="0" i="0">
                  <a:latin typeface="Cambria Math" panose="02040503050406030204" pitchFamily="18" charset="0"/>
                </a:rPr>
                <a:t>^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3</xdr:col>
      <xdr:colOff>406400</xdr:colOff>
      <xdr:row>2</xdr:row>
      <xdr:rowOff>38100</xdr:rowOff>
    </xdr:from>
    <xdr:to>
      <xdr:col>4</xdr:col>
      <xdr:colOff>215900</xdr:colOff>
      <xdr:row>2</xdr:row>
      <xdr:rowOff>228600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1B2484C-572D-4936-BECD-86D668F709BE}"/>
                </a:ext>
              </a:extLst>
            </xdr:cNvPr>
            <xdr:cNvSpPr txBox="1"/>
          </xdr:nvSpPr>
          <xdr:spPr>
            <a:xfrm>
              <a:off x="2235200" y="40640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1B2484C-572D-4936-BECD-86D668F709BE}"/>
                </a:ext>
              </a:extLst>
            </xdr:cNvPr>
            <xdr:cNvSpPr txBox="1"/>
          </xdr:nvSpPr>
          <xdr:spPr>
            <a:xfrm>
              <a:off x="2235200" y="40640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𝐵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3</xdr:col>
      <xdr:colOff>101600</xdr:colOff>
      <xdr:row>3</xdr:row>
      <xdr:rowOff>31750</xdr:rowOff>
    </xdr:from>
    <xdr:to>
      <xdr:col>3</xdr:col>
      <xdr:colOff>520700</xdr:colOff>
      <xdr:row>3</xdr:row>
      <xdr:rowOff>254000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0E7ECB1-B52B-4B62-B508-8080396C213F}"/>
                </a:ext>
              </a:extLst>
            </xdr:cNvPr>
            <xdr:cNvSpPr txBox="1"/>
          </xdr:nvSpPr>
          <xdr:spPr>
            <a:xfrm>
              <a:off x="193040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0E7ECB1-B52B-4B62-B508-8080396C213F}"/>
                </a:ext>
              </a:extLst>
            </xdr:cNvPr>
            <xdr:cNvSpPr txBox="1"/>
          </xdr:nvSpPr>
          <xdr:spPr>
            <a:xfrm>
              <a:off x="193040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4</xdr:col>
      <xdr:colOff>95250</xdr:colOff>
      <xdr:row>3</xdr:row>
      <xdr:rowOff>25400</xdr:rowOff>
    </xdr:from>
    <xdr:to>
      <xdr:col>4</xdr:col>
      <xdr:colOff>514350</xdr:colOff>
      <xdr:row>3</xdr:row>
      <xdr:rowOff>247650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03464D7-7EF6-46F9-9A7D-BBC59468CDFC}"/>
                </a:ext>
              </a:extLst>
            </xdr:cNvPr>
            <xdr:cNvSpPr txBox="1"/>
          </xdr:nvSpPr>
          <xdr:spPr>
            <a:xfrm>
              <a:off x="2533650" y="6604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03464D7-7EF6-46F9-9A7D-BBC59468CDFC}"/>
                </a:ext>
              </a:extLst>
            </xdr:cNvPr>
            <xdr:cNvSpPr txBox="1"/>
          </xdr:nvSpPr>
          <xdr:spPr>
            <a:xfrm>
              <a:off x="2533650" y="6604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r>
                <a:rPr lang="en-ID" sz="1000" b="0" i="0">
                  <a:latin typeface="Cambria Math" panose="02040503050406030204" pitchFamily="18" charset="0"/>
                </a:rPr>
                <a:t>^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5</xdr:col>
      <xdr:colOff>412750</xdr:colOff>
      <xdr:row>2</xdr:row>
      <xdr:rowOff>31750</xdr:rowOff>
    </xdr:from>
    <xdr:to>
      <xdr:col>6</xdr:col>
      <xdr:colOff>222250</xdr:colOff>
      <xdr:row>2</xdr:row>
      <xdr:rowOff>222250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5CB47A-D137-4B09-A83C-5D085C2B8A55}"/>
                </a:ext>
              </a:extLst>
            </xdr:cNvPr>
            <xdr:cNvSpPr txBox="1"/>
          </xdr:nvSpPr>
          <xdr:spPr>
            <a:xfrm>
              <a:off x="3460750" y="40005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5CB47A-D137-4B09-A83C-5D085C2B8A55}"/>
                </a:ext>
              </a:extLst>
            </xdr:cNvPr>
            <xdr:cNvSpPr txBox="1"/>
          </xdr:nvSpPr>
          <xdr:spPr>
            <a:xfrm>
              <a:off x="3460750" y="400050"/>
              <a:ext cx="419100" cy="190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𝐵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3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5</xdr:col>
      <xdr:colOff>107950</xdr:colOff>
      <xdr:row>3</xdr:row>
      <xdr:rowOff>31750</xdr:rowOff>
    </xdr:from>
    <xdr:to>
      <xdr:col>5</xdr:col>
      <xdr:colOff>527050</xdr:colOff>
      <xdr:row>3</xdr:row>
      <xdr:rowOff>254000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864280F-376F-4B2D-903A-03B4EFBB6A16}"/>
                </a:ext>
              </a:extLst>
            </xdr:cNvPr>
            <xdr:cNvSpPr txBox="1"/>
          </xdr:nvSpPr>
          <xdr:spPr>
            <a:xfrm>
              <a:off x="31559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864280F-376F-4B2D-903A-03B4EFBB6A16}"/>
                </a:ext>
              </a:extLst>
            </xdr:cNvPr>
            <xdr:cNvSpPr txBox="1"/>
          </xdr:nvSpPr>
          <xdr:spPr>
            <a:xfrm>
              <a:off x="31559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3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6</xdr:col>
      <xdr:colOff>120650</xdr:colOff>
      <xdr:row>3</xdr:row>
      <xdr:rowOff>31750</xdr:rowOff>
    </xdr:from>
    <xdr:to>
      <xdr:col>6</xdr:col>
      <xdr:colOff>539750</xdr:colOff>
      <xdr:row>3</xdr:row>
      <xdr:rowOff>254000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A62A491-0C71-4714-8346-27F79BAEDFB8}"/>
                </a:ext>
              </a:extLst>
            </xdr:cNvPr>
            <xdr:cNvSpPr txBox="1"/>
          </xdr:nvSpPr>
          <xdr:spPr>
            <a:xfrm>
              <a:off x="37782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A62A491-0C71-4714-8346-27F79BAEDFB8}"/>
                </a:ext>
              </a:extLst>
            </xdr:cNvPr>
            <xdr:cNvSpPr txBox="1"/>
          </xdr:nvSpPr>
          <xdr:spPr>
            <a:xfrm>
              <a:off x="37782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3</a:t>
              </a:r>
              <a:r>
                <a:rPr lang="en-ID" sz="1000" b="0" i="0">
                  <a:latin typeface="Cambria Math" panose="02040503050406030204" pitchFamily="18" charset="0"/>
                </a:rPr>
                <a:t>^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7</xdr:col>
      <xdr:colOff>107950</xdr:colOff>
      <xdr:row>3</xdr:row>
      <xdr:rowOff>31750</xdr:rowOff>
    </xdr:from>
    <xdr:to>
      <xdr:col>7</xdr:col>
      <xdr:colOff>527050</xdr:colOff>
      <xdr:row>3</xdr:row>
      <xdr:rowOff>254000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A0592BF-1773-4283-972F-D92532E9EDB4}"/>
                </a:ext>
              </a:extLst>
            </xdr:cNvPr>
            <xdr:cNvSpPr txBox="1"/>
          </xdr:nvSpPr>
          <xdr:spPr>
            <a:xfrm>
              <a:off x="43751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A0592BF-1773-4283-972F-D92532E9EDB4}"/>
                </a:ext>
              </a:extLst>
            </xdr:cNvPr>
            <xdr:cNvSpPr txBox="1"/>
          </xdr:nvSpPr>
          <xdr:spPr>
            <a:xfrm>
              <a:off x="4375150" y="66675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𝑡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8</xdr:col>
      <xdr:colOff>101600</xdr:colOff>
      <xdr:row>3</xdr:row>
      <xdr:rowOff>25400</xdr:rowOff>
    </xdr:from>
    <xdr:to>
      <xdr:col>8</xdr:col>
      <xdr:colOff>520700</xdr:colOff>
      <xdr:row>3</xdr:row>
      <xdr:rowOff>247650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B3DEE94-67FF-4AEF-8AA9-2CB367DD178C}"/>
                </a:ext>
              </a:extLst>
            </xdr:cNvPr>
            <xdr:cNvSpPr txBox="1"/>
          </xdr:nvSpPr>
          <xdr:spPr>
            <a:xfrm>
              <a:off x="4978400" y="6604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B3DEE94-67FF-4AEF-8AA9-2CB367DD178C}"/>
                </a:ext>
              </a:extLst>
            </xdr:cNvPr>
            <xdr:cNvSpPr txBox="1"/>
          </xdr:nvSpPr>
          <xdr:spPr>
            <a:xfrm>
              <a:off x="4978400" y="660400"/>
              <a:ext cx="419100" cy="222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latin typeface="Cambria Math" panose="02040503050406030204" pitchFamily="18" charset="0"/>
                </a:rPr>
                <a:t>𝑋</a:t>
              </a:r>
              <a:r>
                <a:rPr lang="en-ID" sz="1000" b="0" i="0">
                  <a:latin typeface="Cambria Math" panose="02040503050406030204" pitchFamily="18" charset="0"/>
                </a:rPr>
                <a:t>_</a:t>
              </a:r>
              <a:r>
                <a:rPr lang="en-US" sz="1000" b="0" i="0">
                  <a:latin typeface="Cambria Math" panose="02040503050406030204" pitchFamily="18" charset="0"/>
                </a:rPr>
                <a:t>𝑡</a:t>
              </a:r>
              <a:r>
                <a:rPr lang="en-ID" sz="1000" b="0" i="0">
                  <a:latin typeface="Cambria Math" panose="02040503050406030204" pitchFamily="18" charset="0"/>
                </a:rPr>
                <a:t>^</a:t>
              </a:r>
              <a:r>
                <a:rPr lang="en-US" sz="1000" b="0" i="0">
                  <a:latin typeface="Cambria Math" panose="02040503050406030204" pitchFamily="18" charset="0"/>
                </a:rPr>
                <a:t>2</a:t>
              </a:r>
              <a:endParaRPr lang="en-ID" sz="1000"/>
            </a:p>
          </xdr:txBody>
        </xdr:sp>
      </mc:Fallback>
    </mc:AlternateContent>
    <xdr:clientData/>
  </xdr:twoCellAnchor>
  <xdr:twoCellAnchor>
    <xdr:from>
      <xdr:col>0</xdr:col>
      <xdr:colOff>133350</xdr:colOff>
      <xdr:row>5</xdr:row>
      <xdr:rowOff>38100</xdr:rowOff>
    </xdr:from>
    <xdr:to>
      <xdr:col>0</xdr:col>
      <xdr:colOff>495300</xdr:colOff>
      <xdr:row>6</xdr:row>
      <xdr:rowOff>146050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504768C-C888-4BD4-927D-DC6C26B17D89}"/>
                </a:ext>
              </a:extLst>
            </xdr:cNvPr>
            <xdr:cNvSpPr txBox="1"/>
          </xdr:nvSpPr>
          <xdr:spPr>
            <a:xfrm>
              <a:off x="133350" y="116840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504768C-C888-4BD4-927D-DC6C26B17D89}"/>
                </a:ext>
              </a:extLst>
            </xdr:cNvPr>
            <xdr:cNvSpPr txBox="1"/>
          </xdr:nvSpPr>
          <xdr:spPr>
            <a:xfrm>
              <a:off x="133350" y="116840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en-ID" sz="1100"/>
            </a:p>
          </xdr:txBody>
        </xdr:sp>
      </mc:Fallback>
    </mc:AlternateContent>
    <xdr:clientData/>
  </xdr:twoCellAnchor>
  <xdr:twoCellAnchor>
    <xdr:from>
      <xdr:col>0</xdr:col>
      <xdr:colOff>38100</xdr:colOff>
      <xdr:row>8</xdr:row>
      <xdr:rowOff>69850</xdr:rowOff>
    </xdr:from>
    <xdr:to>
      <xdr:col>0</xdr:col>
      <xdr:colOff>577850</xdr:colOff>
      <xdr:row>8</xdr:row>
      <xdr:rowOff>368300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4E6807-7AB3-445A-B72D-95BA83B22D4D}"/>
                </a:ext>
              </a:extLst>
            </xdr:cNvPr>
            <xdr:cNvSpPr txBox="1"/>
          </xdr:nvSpPr>
          <xdr:spPr>
            <a:xfrm>
              <a:off x="38100" y="1752600"/>
              <a:ext cx="539750" cy="298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ID" sz="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ID" sz="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4E6807-7AB3-445A-B72D-95BA83B22D4D}"/>
                </a:ext>
              </a:extLst>
            </xdr:cNvPr>
            <xdr:cNvSpPr txBox="1"/>
          </xdr:nvSpPr>
          <xdr:spPr>
            <a:xfrm>
              <a:off x="38100" y="1752600"/>
              <a:ext cx="539750" cy="298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600" i="0">
                  <a:latin typeface="Cambria Math" panose="02040503050406030204" pitchFamily="18" charset="0"/>
                </a:rPr>
                <a:t>∑▒</a:t>
              </a:r>
              <a:r>
                <a:rPr lang="en-US" sz="600" b="0" i="0">
                  <a:latin typeface="Cambria Math" panose="02040503050406030204" pitchFamily="18" charset="0"/>
                </a:rPr>
                <a:t>𝑋</a:t>
              </a:r>
              <a:r>
                <a:rPr lang="en-ID" sz="600" b="0" i="0">
                  <a:latin typeface="Cambria Math" panose="02040503050406030204" pitchFamily="18" charset="0"/>
                </a:rPr>
                <a:t>_</a:t>
              </a:r>
              <a:r>
                <a:rPr lang="en-US" sz="600" b="0" i="0">
                  <a:latin typeface="Cambria Math" panose="02040503050406030204" pitchFamily="18" charset="0"/>
                </a:rPr>
                <a:t>1</a:t>
              </a:r>
              <a:r>
                <a:rPr lang="en-ID" sz="600" b="0" i="0">
                  <a:latin typeface="Cambria Math" panose="02040503050406030204" pitchFamily="18" charset="0"/>
                </a:rPr>
                <a:t> </a:t>
              </a:r>
              <a:endParaRPr lang="en-ID" sz="1100"/>
            </a:p>
          </xdr:txBody>
        </xdr:sp>
      </mc:Fallback>
    </mc:AlternateContent>
    <xdr:clientData/>
  </xdr:twoCellAnchor>
  <xdr:twoCellAnchor>
    <xdr:from>
      <xdr:col>0</xdr:col>
      <xdr:colOff>120650</xdr:colOff>
      <xdr:row>10</xdr:row>
      <xdr:rowOff>44450</xdr:rowOff>
    </xdr:from>
    <xdr:to>
      <xdr:col>0</xdr:col>
      <xdr:colOff>482600</xdr:colOff>
      <xdr:row>11</xdr:row>
      <xdr:rowOff>152400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B97F71D-C676-4DE6-8D8C-BE924AAB78FF}"/>
                </a:ext>
              </a:extLst>
            </xdr:cNvPr>
            <xdr:cNvSpPr txBox="1"/>
          </xdr:nvSpPr>
          <xdr:spPr>
            <a:xfrm>
              <a:off x="120650" y="234315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B97F71D-C676-4DE6-8D8C-BE924AAB78FF}"/>
                </a:ext>
              </a:extLst>
            </xdr:cNvPr>
            <xdr:cNvSpPr txBox="1"/>
          </xdr:nvSpPr>
          <xdr:spPr>
            <a:xfrm>
              <a:off x="120650" y="2343150"/>
              <a:ext cx="361950" cy="2921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𝐴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twoCellAnchor>
  <xdr:twoCellAnchor>
    <xdr:from>
      <xdr:col>0</xdr:col>
      <xdr:colOff>38100</xdr:colOff>
      <xdr:row>13</xdr:row>
      <xdr:rowOff>57150</xdr:rowOff>
    </xdr:from>
    <xdr:to>
      <xdr:col>0</xdr:col>
      <xdr:colOff>577850</xdr:colOff>
      <xdr:row>13</xdr:row>
      <xdr:rowOff>355600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1BD7DFF-DACE-44DE-810C-0BB861A066CD}"/>
                </a:ext>
              </a:extLst>
            </xdr:cNvPr>
            <xdr:cNvSpPr txBox="1"/>
          </xdr:nvSpPr>
          <xdr:spPr>
            <a:xfrm>
              <a:off x="38100" y="2908300"/>
              <a:ext cx="539750" cy="298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ID" sz="6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ID" sz="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1BD7DFF-DACE-44DE-810C-0BB861A066CD}"/>
                </a:ext>
              </a:extLst>
            </xdr:cNvPr>
            <xdr:cNvSpPr txBox="1"/>
          </xdr:nvSpPr>
          <xdr:spPr>
            <a:xfrm>
              <a:off x="38100" y="2908300"/>
              <a:ext cx="539750" cy="2984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600" i="0">
                  <a:latin typeface="Cambria Math" panose="02040503050406030204" pitchFamily="18" charset="0"/>
                </a:rPr>
                <a:t>∑▒</a:t>
              </a:r>
              <a:r>
                <a:rPr lang="en-US" sz="600" b="0" i="0">
                  <a:latin typeface="Cambria Math" panose="02040503050406030204" pitchFamily="18" charset="0"/>
                </a:rPr>
                <a:t>𝑋</a:t>
              </a:r>
              <a:r>
                <a:rPr lang="en-ID" sz="600" b="0" i="0">
                  <a:latin typeface="Cambria Math" panose="02040503050406030204" pitchFamily="18" charset="0"/>
                </a:rPr>
                <a:t>_</a:t>
              </a:r>
              <a:r>
                <a:rPr lang="en-US" sz="600" b="0" i="0">
                  <a:latin typeface="Cambria Math" panose="02040503050406030204" pitchFamily="18" charset="0"/>
                </a:rPr>
                <a:t>2</a:t>
              </a:r>
              <a:r>
                <a:rPr lang="en-ID" sz="600" b="0" i="0">
                  <a:latin typeface="Cambria Math" panose="02040503050406030204" pitchFamily="18" charset="0"/>
                </a:rPr>
                <a:t> </a:t>
              </a:r>
              <a:endParaRPr lang="en-ID" sz="1100"/>
            </a:p>
          </xdr:txBody>
        </xdr:sp>
      </mc:Fallback>
    </mc:AlternateContent>
    <xdr:clientData/>
  </xdr:twoCellAnchor>
  <xdr:oneCellAnchor>
    <xdr:from>
      <xdr:col>0</xdr:col>
      <xdr:colOff>295275</xdr:colOff>
      <xdr:row>30</xdr:row>
      <xdr:rowOff>79375</xdr:rowOff>
    </xdr:from>
    <xdr:ext cx="1532407" cy="4240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F709672-D1F0-0E23-8D8A-64B25ECC7C1E}"/>
                </a:ext>
              </a:extLst>
            </xdr:cNvPr>
            <xdr:cNvSpPr txBox="1"/>
          </xdr:nvSpPr>
          <xdr:spPr>
            <a:xfrm>
              <a:off x="295275" y="6365875"/>
              <a:ext cx="1532407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𝐽𝑘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𝑋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𝑡</m:t>
                                            </m:r>
                                          </m:sub>
                                        </m:sSub>
                                      </m:e>
                                    </m:nary>
                                  </m:e>
                                </m:d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nary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F709672-D1F0-0E23-8D8A-64B25ECC7C1E}"/>
                </a:ext>
              </a:extLst>
            </xdr:cNvPr>
            <xdr:cNvSpPr txBox="1"/>
          </xdr:nvSpPr>
          <xdr:spPr>
            <a:xfrm>
              <a:off x="295275" y="6365875"/>
              <a:ext cx="1532407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𝐽𝑘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𝑡=∑▒〖𝑋_𝑡^2−(∑▒𝑋_𝑡 )^2/𝑁=〗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320675</xdr:colOff>
      <xdr:row>33</xdr:row>
      <xdr:rowOff>127000</xdr:rowOff>
    </xdr:from>
    <xdr:ext cx="2282825" cy="3428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E1203DC-9F27-690F-7F4D-1FF705A51FA0}"/>
                </a:ext>
              </a:extLst>
            </xdr:cNvPr>
            <xdr:cNvSpPr txBox="1"/>
          </xdr:nvSpPr>
          <xdr:spPr>
            <a:xfrm>
              <a:off x="320675" y="6965950"/>
              <a:ext cx="2282825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𝐴</m:t>
                                      </m:r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1</m:t>
                                      </m:r>
                                    </m:sub>
                                  </m:sSub>
                                </m:e>
                              </m:nary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𝐴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𝐴</m:t>
                                      </m:r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2</m:t>
                                      </m:r>
                                    </m:sub>
                                  </m:sSub>
                                </m:e>
                              </m:nary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𝐴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b>
                          </m:sSub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𝑡</m:t>
                                      </m:r>
                                    </m:sub>
                                  </m:sSub>
                                </m:e>
                              </m:nary>
                            </m:e>
                          </m:d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</m:t>
                      </m:r>
                    </m:den>
                  </m:f>
                </m:oMath>
              </a14:m>
              <a:r>
                <a:rPr lang="en-ID" sz="1100"/>
                <a:t> =</a:t>
              </a: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E1203DC-9F27-690F-7F4D-1FF705A51FA0}"/>
                </a:ext>
              </a:extLst>
            </xdr:cNvPr>
            <xdr:cNvSpPr txBox="1"/>
          </xdr:nvSpPr>
          <xdr:spPr>
            <a:xfrm>
              <a:off x="320675" y="6965950"/>
              <a:ext cx="2282825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𝐽𝑘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𝐴=[〖(∑▒𝑋_𝐴1 )〗^2/𝑛_𝐴1 +〖(∑▒𝑋_𝐴2 )〗^2/𝑛_𝐴2 ]−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(∑▒𝑋_𝑡 )^2/𝑁</a:t>
              </a:r>
              <a:r>
                <a:rPr lang="en-ID" sz="1100"/>
                <a:t> =</a:t>
              </a:r>
            </a:p>
          </xdr:txBody>
        </xdr:sp>
      </mc:Fallback>
    </mc:AlternateContent>
    <xdr:clientData/>
  </xdr:oneCellAnchor>
  <xdr:oneCellAnchor>
    <xdr:from>
      <xdr:col>0</xdr:col>
      <xdr:colOff>317500</xdr:colOff>
      <xdr:row>36</xdr:row>
      <xdr:rowOff>120650</xdr:rowOff>
    </xdr:from>
    <xdr:ext cx="2717800" cy="3428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77C7675-5ACC-4631-969D-0D3EE63760D8}"/>
                </a:ext>
              </a:extLst>
            </xdr:cNvPr>
            <xdr:cNvSpPr txBox="1"/>
          </xdr:nvSpPr>
          <xdr:spPr>
            <a:xfrm>
              <a:off x="317500" y="7512050"/>
              <a:ext cx="2717800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𝐵</m:t>
                                      </m:r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1</m:t>
                                      </m:r>
                                    </m:sub>
                                  </m:sSub>
                                </m:e>
                              </m:nary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𝐵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𝐵</m:t>
                                      </m:r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2</m:t>
                                      </m:r>
                                    </m:sub>
                                  </m:sSub>
                                </m:e>
                              </m:nary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𝐵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b>
                          </m:sSub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f>
                        <m:f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𝐵</m:t>
                                      </m:r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3</m:t>
                                      </m:r>
                                    </m:sub>
                                  </m:sSub>
                                </m:e>
                              </m:nary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𝐵</m:t>
                              </m:r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3</m:t>
                              </m:r>
                            </m:sub>
                          </m:sSub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𝑡</m:t>
                                      </m:r>
                                    </m:sub>
                                  </m:sSub>
                                </m:e>
                              </m:nary>
                            </m:e>
                          </m:d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</m:t>
                      </m:r>
                    </m:den>
                  </m:f>
                </m:oMath>
              </a14:m>
              <a:r>
                <a:rPr lang="en-ID" sz="1100"/>
                <a:t> =</a:t>
              </a: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77C7675-5ACC-4631-969D-0D3EE63760D8}"/>
                </a:ext>
              </a:extLst>
            </xdr:cNvPr>
            <xdr:cNvSpPr txBox="1"/>
          </xdr:nvSpPr>
          <xdr:spPr>
            <a:xfrm>
              <a:off x="317500" y="7512050"/>
              <a:ext cx="2717800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𝐽𝑘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𝐵=[〖(∑▒𝑋_𝐵1 )〗^2/𝑛_𝐵1 +〖(∑▒𝑋_𝐵2 )〗^2/𝑛_𝐵2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〖(∑▒𝑋_𝐵3 )〗^2/𝑛_𝐵3 ]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(∑▒𝑋_𝑡 )^2/𝑁</a:t>
              </a:r>
              <a:r>
                <a:rPr lang="en-ID" sz="1100"/>
                <a:t> =</a:t>
              </a:r>
            </a:p>
          </xdr:txBody>
        </xdr:sp>
      </mc:Fallback>
    </mc:AlternateContent>
    <xdr:clientData/>
  </xdr:oneCellAnchor>
  <xdr:oneCellAnchor>
    <xdr:from>
      <xdr:col>0</xdr:col>
      <xdr:colOff>371475</xdr:colOff>
      <xdr:row>39</xdr:row>
      <xdr:rowOff>123825</xdr:rowOff>
    </xdr:from>
    <xdr:ext cx="2492605" cy="307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C426294-D53E-5172-88AD-2AC45B1B8FC8}"/>
                </a:ext>
              </a:extLst>
            </xdr:cNvPr>
            <xdr:cNvSpPr txBox="1"/>
          </xdr:nvSpPr>
          <xdr:spPr>
            <a:xfrm>
              <a:off x="371475" y="8067675"/>
              <a:ext cx="2492605" cy="307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</m:t>
                              </m:r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</a:rPr>
                                        <m:t>𝐴𝐵</m:t>
                                      </m:r>
                                    </m:sub>
                                  </m:sSub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</a:rPr>
                                    <m:t>)</m:t>
                                  </m:r>
                                </m:e>
                              </m:nary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𝐴𝐵</m:t>
                              </m:r>
                            </m:sub>
                          </m:sSub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nary>
                                <m:naryPr>
                                  <m:chr m:val="∑"/>
                                  <m:subHide m:val="on"/>
                                  <m:supHide m:val="on"/>
                                  <m:ctrlPr>
                                    <a:rPr lang="en-US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naryPr>
                                <m:sub/>
                                <m:sup/>
                                <m:e>
                                  <m:sSub>
                                    <m:sSubPr>
                                      <m:ctrlP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𝑋</m:t>
                                      </m:r>
                                    </m:e>
                                    <m:sub>
                                      <m:r>
                                        <a:rPr lang="en-US" sz="1100" b="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𝑡</m:t>
                                      </m:r>
                                    </m:sub>
                                  </m:sSub>
                                </m:e>
                              </m:nary>
                            </m:e>
                          </m:d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</m:t>
                      </m:r>
                    </m:den>
                  </m:f>
                  <m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d>
                    <m:d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𝐴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𝐵</m:t>
                          </m:r>
                        </m:sub>
                      </m:sSub>
                    </m:e>
                  </m:d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ID" sz="1100"/>
                <a:t>=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C426294-D53E-5172-88AD-2AC45B1B8FC8}"/>
                </a:ext>
              </a:extLst>
            </xdr:cNvPr>
            <xdr:cNvSpPr txBox="1"/>
          </xdr:nvSpPr>
          <xdr:spPr>
            <a:xfrm>
              <a:off x="371475" y="8067675"/>
              <a:ext cx="2492605" cy="307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𝐽𝑘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𝐴𝐵=[〖(∑▒〖𝑋_𝐴𝐵)〗〗^2/𝑛_𝐴𝐵 ]−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(∑▒𝑋_𝑡 )^2/𝑁−(〖𝐽𝑘〗_𝐴+〖𝐽𝑘〗_𝐵 )  </a:t>
              </a:r>
              <a:r>
                <a:rPr lang="en-ID" sz="1100"/>
                <a:t>=</a:t>
              </a:r>
            </a:p>
          </xdr:txBody>
        </xdr:sp>
      </mc:Fallback>
    </mc:AlternateContent>
    <xdr:clientData/>
  </xdr:oneCellAnchor>
  <xdr:oneCellAnchor>
    <xdr:from>
      <xdr:col>0</xdr:col>
      <xdr:colOff>403225</xdr:colOff>
      <xdr:row>43</xdr:row>
      <xdr:rowOff>15875</xdr:rowOff>
    </xdr:from>
    <xdr:ext cx="20108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1E25C1-1636-3934-4C3E-1B537D121FAC}"/>
                </a:ext>
              </a:extLst>
            </xdr:cNvPr>
            <xdr:cNvSpPr txBox="1"/>
          </xdr:nvSpPr>
          <xdr:spPr>
            <a:xfrm>
              <a:off x="403225" y="8696325"/>
              <a:ext cx="20108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𝑑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−(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𝐽𝑘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𝐴𝐵</m:t>
                      </m:r>
                    </m:sub>
                  </m:sSub>
                </m:oMath>
              </a14:m>
              <a:r>
                <a:rPr lang="en-ID" sz="1100"/>
                <a:t>) = 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1E25C1-1636-3934-4C3E-1B537D121FAC}"/>
                </a:ext>
              </a:extLst>
            </xdr:cNvPr>
            <xdr:cNvSpPr txBox="1"/>
          </xdr:nvSpPr>
          <xdr:spPr>
            <a:xfrm>
              <a:off x="403225" y="8696325"/>
              <a:ext cx="20108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𝐽𝑘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𝑑=〖𝐽𝑘〗_𝑡−(〖𝐽𝑘〗_𝐴+〖𝐽𝑘〗_𝐵+〖𝐽𝑘〗_𝐴𝐵</a:t>
              </a:r>
              <a:r>
                <a:rPr lang="en-ID" sz="1100"/>
                <a:t>) = </a:t>
              </a:r>
            </a:p>
          </xdr:txBody>
        </xdr:sp>
      </mc:Fallback>
    </mc:AlternateContent>
    <xdr:clientData/>
  </xdr:oneCellAnchor>
  <xdr:oneCellAnchor>
    <xdr:from>
      <xdr:col>11</xdr:col>
      <xdr:colOff>19018</xdr:colOff>
      <xdr:row>4</xdr:row>
      <xdr:rowOff>183038</xdr:rowOff>
    </xdr:from>
    <xdr:ext cx="3316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CF8FC94-36FA-E8EE-79E1-B93AEBABFE3E}"/>
                </a:ext>
              </a:extLst>
            </xdr:cNvPr>
            <xdr:cNvSpPr txBox="1"/>
          </xdr:nvSpPr>
          <xdr:spPr>
            <a:xfrm>
              <a:off x="6445218" y="1129188"/>
              <a:ext cx="3316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CF8FC94-36FA-E8EE-79E1-B93AEBABFE3E}"/>
                </a:ext>
              </a:extLst>
            </xdr:cNvPr>
            <xdr:cNvSpPr txBox="1"/>
          </xdr:nvSpPr>
          <xdr:spPr>
            <a:xfrm>
              <a:off x="6445218" y="1129188"/>
              <a:ext cx="3316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𝐴=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11</xdr:col>
      <xdr:colOff>25400</xdr:colOff>
      <xdr:row>6</xdr:row>
      <xdr:rowOff>6350</xdr:rowOff>
    </xdr:from>
    <xdr:ext cx="3420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BEEEED2-5E23-4FF7-A7CB-9031AFC8FBF8}"/>
                </a:ext>
              </a:extLst>
            </xdr:cNvPr>
            <xdr:cNvSpPr txBox="1"/>
          </xdr:nvSpPr>
          <xdr:spPr>
            <a:xfrm>
              <a:off x="6451600" y="1320800"/>
              <a:ext cx="342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BEEEED2-5E23-4FF7-A7CB-9031AFC8FBF8}"/>
                </a:ext>
              </a:extLst>
            </xdr:cNvPr>
            <xdr:cNvSpPr txBox="1"/>
          </xdr:nvSpPr>
          <xdr:spPr>
            <a:xfrm>
              <a:off x="6451600" y="1320800"/>
              <a:ext cx="3420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𝐵=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282575</xdr:colOff>
      <xdr:row>48</xdr:row>
      <xdr:rowOff>3175</xdr:rowOff>
    </xdr:from>
    <xdr:ext cx="92044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A407C51-B5C7-1864-405B-F397550B32F4}"/>
                </a:ext>
              </a:extLst>
            </xdr:cNvPr>
            <xdr:cNvSpPr txBox="1"/>
          </xdr:nvSpPr>
          <xdr:spPr>
            <a:xfrm>
              <a:off x="282575" y="9604375"/>
              <a:ext cx="9204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−1=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A407C51-B5C7-1864-405B-F397550B32F4}"/>
                </a:ext>
              </a:extLst>
            </xdr:cNvPr>
            <xdr:cNvSpPr txBox="1"/>
          </xdr:nvSpPr>
          <xdr:spPr>
            <a:xfrm>
              <a:off x="282575" y="9604375"/>
              <a:ext cx="9204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𝑑𝑏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𝑡=𝑁−1=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298450</xdr:colOff>
      <xdr:row>50</xdr:row>
      <xdr:rowOff>12700</xdr:rowOff>
    </xdr:from>
    <xdr:ext cx="983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DF1A0DE-FCFD-481F-B3DA-10767954527F}"/>
                </a:ext>
              </a:extLst>
            </xdr:cNvPr>
            <xdr:cNvSpPr txBox="1"/>
          </xdr:nvSpPr>
          <xdr:spPr>
            <a:xfrm>
              <a:off x="298450" y="9982200"/>
              <a:ext cx="983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−1=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DF1A0DE-FCFD-481F-B3DA-10767954527F}"/>
                </a:ext>
              </a:extLst>
            </xdr:cNvPr>
            <xdr:cNvSpPr txBox="1"/>
          </xdr:nvSpPr>
          <xdr:spPr>
            <a:xfrm>
              <a:off x="298450" y="9982200"/>
              <a:ext cx="983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𝑑𝑏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𝐴=𝐾_𝐴−1=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298450</xdr:colOff>
      <xdr:row>52</xdr:row>
      <xdr:rowOff>6350</xdr:rowOff>
    </xdr:from>
    <xdr:ext cx="10371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F54F337-8102-4D97-A643-51366865636E}"/>
                </a:ext>
              </a:extLst>
            </xdr:cNvPr>
            <xdr:cNvSpPr txBox="1"/>
          </xdr:nvSpPr>
          <xdr:spPr>
            <a:xfrm>
              <a:off x="298450" y="10344150"/>
              <a:ext cx="10371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−1=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F54F337-8102-4D97-A643-51366865636E}"/>
                </a:ext>
              </a:extLst>
            </xdr:cNvPr>
            <xdr:cNvSpPr txBox="1"/>
          </xdr:nvSpPr>
          <xdr:spPr>
            <a:xfrm>
              <a:off x="298450" y="10344150"/>
              <a:ext cx="10371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𝑑𝑏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𝐵=𝐾_𝐵−1=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292100</xdr:colOff>
      <xdr:row>54</xdr:row>
      <xdr:rowOff>6350</xdr:rowOff>
    </xdr:from>
    <xdr:ext cx="12962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FBB69E1-07CD-4F3C-953B-65DB18D412DE}"/>
                </a:ext>
              </a:extLst>
            </xdr:cNvPr>
            <xdr:cNvSpPr txBox="1"/>
          </xdr:nvSpPr>
          <xdr:spPr>
            <a:xfrm>
              <a:off x="292100" y="10712450"/>
              <a:ext cx="12962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FBB69E1-07CD-4F3C-953B-65DB18D412DE}"/>
                </a:ext>
              </a:extLst>
            </xdr:cNvPr>
            <xdr:cNvSpPr txBox="1"/>
          </xdr:nvSpPr>
          <xdr:spPr>
            <a:xfrm>
              <a:off x="292100" y="10712450"/>
              <a:ext cx="12962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𝑑𝑏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𝐴𝐵=〖𝑑𝑏〗_𝐴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〖𝑑𝑏〗_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282575</xdr:colOff>
      <xdr:row>56</xdr:row>
      <xdr:rowOff>9525</xdr:rowOff>
    </xdr:from>
    <xdr:ext cx="21630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7DBD96FE-4F16-1B8A-A840-B925649AB630}"/>
                </a:ext>
              </a:extLst>
            </xdr:cNvPr>
            <xdr:cNvSpPr txBox="1"/>
          </xdr:nvSpPr>
          <xdr:spPr>
            <a:xfrm>
              <a:off x="282575" y="11083925"/>
              <a:ext cx="21630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𝑑𝑏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𝑑𝑏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𝐴𝐵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7DBD96FE-4F16-1B8A-A840-B925649AB630}"/>
                </a:ext>
              </a:extLst>
            </xdr:cNvPr>
            <xdr:cNvSpPr txBox="1"/>
          </xdr:nvSpPr>
          <xdr:spPr>
            <a:xfrm>
              <a:off x="282575" y="11083925"/>
              <a:ext cx="21630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𝑑𝑏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𝑑=〖𝑑𝑏〗_𝑡−(〖𝑑𝑏〗_𝐴+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〖𝑑𝑏〗_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〖𝑑𝑏〗_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𝐴𝐵 )=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352425</xdr:colOff>
      <xdr:row>60</xdr:row>
      <xdr:rowOff>168275</xdr:rowOff>
    </xdr:from>
    <xdr:ext cx="747962" cy="2637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57D3F65-9ECD-5BA5-938E-A87772833DAA}"/>
                </a:ext>
              </a:extLst>
            </xdr:cNvPr>
            <xdr:cNvSpPr txBox="1"/>
          </xdr:nvSpPr>
          <xdr:spPr>
            <a:xfrm>
              <a:off x="352425" y="11979275"/>
              <a:ext cx="747962" cy="263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𝑅𝑘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𝑑𝑏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57D3F65-9ECD-5BA5-938E-A87772833DAA}"/>
                </a:ext>
              </a:extLst>
            </xdr:cNvPr>
            <xdr:cNvSpPr txBox="1"/>
          </xdr:nvSpPr>
          <xdr:spPr>
            <a:xfrm>
              <a:off x="352425" y="11979275"/>
              <a:ext cx="747962" cy="263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𝐴=〖𝐽𝑘〗_𝐴/〖𝑑𝑏〗_𝐴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0</xdr:col>
      <xdr:colOff>355600</xdr:colOff>
      <xdr:row>63</xdr:row>
      <xdr:rowOff>158750</xdr:rowOff>
    </xdr:from>
    <xdr:ext cx="773353" cy="270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062249E-414F-4D33-B8EE-582DCF9D98FB}"/>
                </a:ext>
              </a:extLst>
            </xdr:cNvPr>
            <xdr:cNvSpPr txBox="1"/>
          </xdr:nvSpPr>
          <xdr:spPr>
            <a:xfrm>
              <a:off x="355600" y="12522200"/>
              <a:ext cx="773353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𝑅𝑘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𝑑𝑏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062249E-414F-4D33-B8EE-582DCF9D98FB}"/>
                </a:ext>
              </a:extLst>
            </xdr:cNvPr>
            <xdr:cNvSpPr txBox="1"/>
          </xdr:nvSpPr>
          <xdr:spPr>
            <a:xfrm>
              <a:off x="355600" y="12522200"/>
              <a:ext cx="773353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𝐵=〖𝐽𝑘〗_𝐵/〖𝑑𝑏〗_𝐵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4</xdr:col>
      <xdr:colOff>203200</xdr:colOff>
      <xdr:row>60</xdr:row>
      <xdr:rowOff>152400</xdr:rowOff>
    </xdr:from>
    <xdr:ext cx="883383" cy="2637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BB078CC-1F9C-4030-B152-F1EEA0309D1A}"/>
                </a:ext>
              </a:extLst>
            </xdr:cNvPr>
            <xdr:cNvSpPr txBox="1"/>
          </xdr:nvSpPr>
          <xdr:spPr>
            <a:xfrm>
              <a:off x="2641600" y="11963400"/>
              <a:ext cx="883383" cy="263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𝑅𝑘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𝑑𝑏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BB078CC-1F9C-4030-B152-F1EEA0309D1A}"/>
                </a:ext>
              </a:extLst>
            </xdr:cNvPr>
            <xdr:cNvSpPr txBox="1"/>
          </xdr:nvSpPr>
          <xdr:spPr>
            <a:xfrm>
              <a:off x="2641600" y="11963400"/>
              <a:ext cx="883383" cy="263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𝐴𝐵=〖𝐽𝑘〗_𝐴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𝐵/〖</a:t>
              </a:r>
              <a:r>
                <a:rPr lang="en-US" sz="1100" b="0" i="0">
                  <a:latin typeface="Cambria Math" panose="02040503050406030204" pitchFamily="18" charset="0"/>
                </a:rPr>
                <a:t>𝑑𝑏〗_𝐴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𝐵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4</xdr:col>
      <xdr:colOff>400050</xdr:colOff>
      <xdr:row>63</xdr:row>
      <xdr:rowOff>158750</xdr:rowOff>
    </xdr:from>
    <xdr:ext cx="769826" cy="270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8483C0A-B4B1-43E1-879B-82416839164F}"/>
                </a:ext>
              </a:extLst>
            </xdr:cNvPr>
            <xdr:cNvSpPr txBox="1"/>
          </xdr:nvSpPr>
          <xdr:spPr>
            <a:xfrm>
              <a:off x="2838450" y="12522200"/>
              <a:ext cx="769826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𝑅𝑘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𝑑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𝐽𝑘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𝑑𝑏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8483C0A-B4B1-43E1-879B-82416839164F}"/>
                </a:ext>
              </a:extLst>
            </xdr:cNvPr>
            <xdr:cNvSpPr txBox="1"/>
          </xdr:nvSpPr>
          <xdr:spPr>
            <a:xfrm>
              <a:off x="2838450" y="12522200"/>
              <a:ext cx="769826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𝑅𝑘</a:t>
              </a:r>
              <a:r>
                <a:rPr lang="en-ID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𝑑=〖𝐽𝑘〗_𝑑/〖𝑑𝑏〗_𝑑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0</xdr:col>
      <xdr:colOff>450850</xdr:colOff>
      <xdr:row>68</xdr:row>
      <xdr:rowOff>146050</xdr:rowOff>
    </xdr:from>
    <xdr:ext cx="668581" cy="270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A3081C6-D446-4518-A832-DE36375DD625}"/>
                </a:ext>
              </a:extLst>
            </xdr:cNvPr>
            <xdr:cNvSpPr txBox="1"/>
          </xdr:nvSpPr>
          <xdr:spPr>
            <a:xfrm>
              <a:off x="450850" y="13430250"/>
              <a:ext cx="668581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A3081C6-D446-4518-A832-DE36375DD625}"/>
                </a:ext>
              </a:extLst>
            </xdr:cNvPr>
            <xdr:cNvSpPr txBox="1"/>
          </xdr:nvSpPr>
          <xdr:spPr>
            <a:xfrm>
              <a:off x="450850" y="13430250"/>
              <a:ext cx="668581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𝐴=〖𝑅𝑘〗_𝐴/〖𝑅𝑘〗_𝑑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4</xdr:col>
      <xdr:colOff>381000</xdr:colOff>
      <xdr:row>68</xdr:row>
      <xdr:rowOff>152400</xdr:rowOff>
    </xdr:from>
    <xdr:ext cx="678968" cy="270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C9DE94-A9BE-4276-8884-B7D51540D076}"/>
                </a:ext>
              </a:extLst>
            </xdr:cNvPr>
            <xdr:cNvSpPr txBox="1"/>
          </xdr:nvSpPr>
          <xdr:spPr>
            <a:xfrm>
              <a:off x="2819400" y="13436600"/>
              <a:ext cx="678968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74C9DE94-A9BE-4276-8884-B7D51540D076}"/>
                </a:ext>
              </a:extLst>
            </xdr:cNvPr>
            <xdr:cNvSpPr txBox="1"/>
          </xdr:nvSpPr>
          <xdr:spPr>
            <a:xfrm>
              <a:off x="2819400" y="13436600"/>
              <a:ext cx="678968" cy="270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𝐵=〖𝑅𝑘〗_𝐵/〖𝑅𝑘〗_𝑑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0</xdr:col>
      <xdr:colOff>438150</xdr:colOff>
      <xdr:row>70</xdr:row>
      <xdr:rowOff>152400</xdr:rowOff>
    </xdr:from>
    <xdr:ext cx="788999" cy="2652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63DFC88-9155-4647-BA21-D298439F1045}"/>
                </a:ext>
              </a:extLst>
            </xdr:cNvPr>
            <xdr:cNvSpPr txBox="1"/>
          </xdr:nvSpPr>
          <xdr:spPr>
            <a:xfrm>
              <a:off x="438150" y="13804900"/>
              <a:ext cx="788999" cy="265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D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𝐴𝐵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𝐴𝐵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𝑅𝑘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</m:den>
                  </m:f>
                </m:oMath>
              </a14:m>
              <a:r>
                <a:rPr lang="en-ID" sz="1100"/>
                <a:t> = </a:t>
              </a: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63DFC88-9155-4647-BA21-D298439F1045}"/>
                </a:ext>
              </a:extLst>
            </xdr:cNvPr>
            <xdr:cNvSpPr txBox="1"/>
          </xdr:nvSpPr>
          <xdr:spPr>
            <a:xfrm>
              <a:off x="438150" y="13804900"/>
              <a:ext cx="788999" cy="265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𝐴𝐵=〖𝑅𝑘〗_𝐴𝐵/〖𝑅𝑘〗_𝑑 </a:t>
              </a:r>
              <a:r>
                <a:rPr lang="en-ID" sz="1100"/>
                <a:t> = 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76</xdr:row>
      <xdr:rowOff>174625</xdr:rowOff>
    </xdr:from>
    <xdr:ext cx="6755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573FBD7-8230-1616-BB08-B5F7734B72D0}"/>
                </a:ext>
              </a:extLst>
            </xdr:cNvPr>
            <xdr:cNvSpPr txBox="1"/>
          </xdr:nvSpPr>
          <xdr:spPr>
            <a:xfrm>
              <a:off x="0" y="14932025"/>
              <a:ext cx="675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𝑡𝑎𝑏𝑒𝑙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573FBD7-8230-1616-BB08-B5F7734B72D0}"/>
                </a:ext>
              </a:extLst>
            </xdr:cNvPr>
            <xdr:cNvSpPr txBox="1"/>
          </xdr:nvSpPr>
          <xdr:spPr>
            <a:xfrm>
              <a:off x="0" y="14932025"/>
              <a:ext cx="6755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𝐴 𝑡𝑎𝑏𝑒𝑙= 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552450</xdr:colOff>
      <xdr:row>77</xdr:row>
      <xdr:rowOff>0</xdr:rowOff>
    </xdr:from>
    <xdr:ext cx="6859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90DA12D-C165-4F75-A7A1-0A3576276169}"/>
                </a:ext>
              </a:extLst>
            </xdr:cNvPr>
            <xdr:cNvSpPr txBox="1"/>
          </xdr:nvSpPr>
          <xdr:spPr>
            <a:xfrm>
              <a:off x="1771650" y="14941550"/>
              <a:ext cx="6859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𝑡𝑎𝑏𝑒𝑙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90DA12D-C165-4F75-A7A1-0A3576276169}"/>
                </a:ext>
              </a:extLst>
            </xdr:cNvPr>
            <xdr:cNvSpPr txBox="1"/>
          </xdr:nvSpPr>
          <xdr:spPr>
            <a:xfrm>
              <a:off x="1771650" y="14941550"/>
              <a:ext cx="6859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𝐵 𝑡𝑎𝑏𝑒𝑙= 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488950</xdr:colOff>
      <xdr:row>77</xdr:row>
      <xdr:rowOff>6350</xdr:rowOff>
    </xdr:from>
    <xdr:ext cx="7471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4A43F9-944F-41FF-AF2D-5FA5E1F69BE5}"/>
                </a:ext>
              </a:extLst>
            </xdr:cNvPr>
            <xdr:cNvSpPr txBox="1"/>
          </xdr:nvSpPr>
          <xdr:spPr>
            <a:xfrm>
              <a:off x="3536950" y="14947900"/>
              <a:ext cx="747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𝑡𝑎𝑏𝑒𝑙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4A43F9-944F-41FF-AF2D-5FA5E1F69BE5}"/>
                </a:ext>
              </a:extLst>
            </xdr:cNvPr>
            <xdr:cNvSpPr txBox="1"/>
          </xdr:nvSpPr>
          <xdr:spPr>
            <a:xfrm>
              <a:off x="3536950" y="14947900"/>
              <a:ext cx="747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𝐴𝐵 𝑡𝑎𝑏𝑒𝑙= 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3</xdr:col>
      <xdr:colOff>479425</xdr:colOff>
      <xdr:row>75</xdr:row>
      <xdr:rowOff>9525</xdr:rowOff>
    </xdr:from>
    <xdr:ext cx="256371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F8C96AF-BA89-2396-C7FF-FC666160496E}"/>
                </a:ext>
              </a:extLst>
            </xdr:cNvPr>
            <xdr:cNvSpPr txBox="1"/>
          </xdr:nvSpPr>
          <xdr:spPr>
            <a:xfrm>
              <a:off x="2308225" y="14582775"/>
              <a:ext cx="25637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=1,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=2,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𝐴𝐵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𝑑𝑎𝑛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=18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F8C96AF-BA89-2396-C7FF-FC666160496E}"/>
                </a:ext>
              </a:extLst>
            </xdr:cNvPr>
            <xdr:cNvSpPr txBox="1"/>
          </xdr:nvSpPr>
          <xdr:spPr>
            <a:xfrm>
              <a:off x="2308225" y="14582775"/>
              <a:ext cx="25637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𝑑𝑏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𝐴=1, 〖𝑑𝑏〗_𝐵=2, 〖𝑑𝑏〗_𝐴𝐵=2, 𝑑𝑎𝑛 〖𝑑𝑏〗_𝑑=18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555625</xdr:colOff>
      <xdr:row>81</xdr:row>
      <xdr:rowOff>15875</xdr:rowOff>
    </xdr:from>
    <xdr:ext cx="1031564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BF83050-EC7D-E135-2172-C4AB3F871EDD}"/>
                </a:ext>
              </a:extLst>
            </xdr:cNvPr>
            <xdr:cNvSpPr txBox="1"/>
          </xdr:nvSpPr>
          <xdr:spPr>
            <a:xfrm>
              <a:off x="555625" y="15694025"/>
              <a:ext cx="1031564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𝑒𝑚𝑝𝑖𝑟𝑖𝑠</m:t>
                        </m:r>
                      </m:sub>
                    </m:sSub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BF83050-EC7D-E135-2172-C4AB3F871EDD}"/>
                </a:ext>
              </a:extLst>
            </xdr:cNvPr>
            <xdr:cNvSpPr txBox="1"/>
          </xdr:nvSpPr>
          <xdr:spPr>
            <a:xfrm>
              <a:off x="555625" y="15694025"/>
              <a:ext cx="1031564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𝑒𝑚𝑝𝑖𝑟𝑖𝑠</a:t>
              </a:r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𝑡𝑎𝑏𝑒𝑙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0</xdr:col>
      <xdr:colOff>558800</xdr:colOff>
      <xdr:row>82</xdr:row>
      <xdr:rowOff>6350</xdr:rowOff>
    </xdr:from>
    <xdr:ext cx="1031564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158BC2D-C865-4B10-9B86-CE14D2C4C747}"/>
                </a:ext>
              </a:extLst>
            </xdr:cNvPr>
            <xdr:cNvSpPr txBox="1"/>
          </xdr:nvSpPr>
          <xdr:spPr>
            <a:xfrm>
              <a:off x="558800" y="15868650"/>
              <a:ext cx="1031564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𝑒𝑚𝑝𝑖𝑟𝑖𝑠</m:t>
                        </m:r>
                      </m:sub>
                    </m:sSub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158BC2D-C865-4B10-9B86-CE14D2C4C747}"/>
                </a:ext>
              </a:extLst>
            </xdr:cNvPr>
            <xdr:cNvSpPr txBox="1"/>
          </xdr:nvSpPr>
          <xdr:spPr>
            <a:xfrm>
              <a:off x="558800" y="15868650"/>
              <a:ext cx="1031564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𝑒𝑚𝑝𝑖𝑟𝑖𝑠</a:t>
              </a:r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𝐹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𝑡𝑎𝑏𝑒𝑙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5EF8-FDE4-426A-8299-CB05023D3BB5}">
  <dimension ref="A1:O88"/>
  <sheetViews>
    <sheetView tabSelected="1" topLeftCell="A63" zoomScale="76" workbookViewId="0">
      <selection activeCell="H69" sqref="H69"/>
    </sheetView>
  </sheetViews>
  <sheetFormatPr defaultRowHeight="14.5" x14ac:dyDescent="0.35"/>
  <cols>
    <col min="6" max="6" width="9.26953125" bestFit="1" customWidth="1"/>
    <col min="10" max="10" width="4.7265625" customWidth="1"/>
  </cols>
  <sheetData>
    <row r="1" spans="1:15" x14ac:dyDescent="0.35">
      <c r="A1" s="1" t="s">
        <v>0</v>
      </c>
    </row>
    <row r="3" spans="1:15" ht="21" customHeight="1" x14ac:dyDescent="0.35">
      <c r="A3" s="4"/>
      <c r="B3" s="4"/>
      <c r="C3" s="4"/>
      <c r="D3" s="4"/>
      <c r="E3" s="4"/>
      <c r="F3" s="4"/>
      <c r="G3" s="4"/>
      <c r="H3" s="5" t="s">
        <v>1</v>
      </c>
      <c r="I3" s="5"/>
    </row>
    <row r="4" spans="1:15" ht="24.5" customHeight="1" x14ac:dyDescent="0.35">
      <c r="A4" s="4"/>
      <c r="B4" s="3"/>
      <c r="C4" s="3"/>
      <c r="D4" s="3"/>
      <c r="E4" s="3"/>
      <c r="F4" s="3"/>
      <c r="G4" s="3"/>
      <c r="H4" s="3"/>
      <c r="I4" s="3"/>
    </row>
    <row r="5" spans="1:15" x14ac:dyDescent="0.35">
      <c r="A5" s="4"/>
      <c r="B5" s="3">
        <v>7</v>
      </c>
      <c r="C5" s="3">
        <f>B5^2</f>
        <v>49</v>
      </c>
      <c r="D5" s="3">
        <v>5</v>
      </c>
      <c r="E5" s="3">
        <f>D5^2</f>
        <v>25</v>
      </c>
      <c r="F5" s="3">
        <v>4</v>
      </c>
      <c r="G5" s="3">
        <f>F5^2</f>
        <v>16</v>
      </c>
      <c r="H5" s="3">
        <f>B5+D5+F5</f>
        <v>16</v>
      </c>
      <c r="I5" s="3">
        <f>C5+E5+G5</f>
        <v>90</v>
      </c>
      <c r="L5" t="s">
        <v>9</v>
      </c>
      <c r="M5">
        <f>(COUNT(B5:B8)+COUNT(D5:D8)+COUNT(F5:F8))*2</f>
        <v>24</v>
      </c>
      <c r="N5" t="s">
        <v>31</v>
      </c>
      <c r="O5">
        <f>COUNT(B5:B8)+COUNT(D5:D8)+COUNT(F5:F8)</f>
        <v>12</v>
      </c>
    </row>
    <row r="6" spans="1:15" x14ac:dyDescent="0.35">
      <c r="A6" s="4"/>
      <c r="B6" s="3">
        <v>8</v>
      </c>
      <c r="C6" s="3">
        <f t="shared" ref="C6:C8" si="0">B6^2</f>
        <v>64</v>
      </c>
      <c r="D6" s="3">
        <v>7</v>
      </c>
      <c r="E6" s="3">
        <f t="shared" ref="E6:E8" si="1">D6^2</f>
        <v>49</v>
      </c>
      <c r="F6" s="3">
        <v>3</v>
      </c>
      <c r="G6" s="3">
        <f t="shared" ref="G6:G8" si="2">F6^2</f>
        <v>9</v>
      </c>
      <c r="H6" s="3">
        <f t="shared" ref="H6:H8" si="3">B6+D6+F6</f>
        <v>18</v>
      </c>
      <c r="I6" s="3">
        <f t="shared" ref="I6:I8" si="4">C6+E6+G6</f>
        <v>122</v>
      </c>
      <c r="M6">
        <v>2</v>
      </c>
      <c r="N6" t="s">
        <v>32</v>
      </c>
      <c r="O6">
        <f>COUNT(B10:B13)+COUNT(D10:D13)+COUNT(F10:F13)</f>
        <v>12</v>
      </c>
    </row>
    <row r="7" spans="1:15" x14ac:dyDescent="0.35">
      <c r="A7" s="4"/>
      <c r="B7" s="3">
        <v>6</v>
      </c>
      <c r="C7" s="3">
        <f t="shared" si="0"/>
        <v>36</v>
      </c>
      <c r="D7" s="3">
        <v>4</v>
      </c>
      <c r="E7" s="3">
        <f t="shared" si="1"/>
        <v>16</v>
      </c>
      <c r="F7" s="3">
        <v>5</v>
      </c>
      <c r="G7" s="3">
        <f t="shared" si="2"/>
        <v>25</v>
      </c>
      <c r="H7" s="3">
        <f t="shared" si="3"/>
        <v>15</v>
      </c>
      <c r="I7" s="3">
        <f t="shared" si="4"/>
        <v>77</v>
      </c>
      <c r="M7">
        <v>3</v>
      </c>
      <c r="N7" t="s">
        <v>35</v>
      </c>
      <c r="O7">
        <f>COUNT(B5:B8)+COUNT(B10:B13)</f>
        <v>8</v>
      </c>
    </row>
    <row r="8" spans="1:15" x14ac:dyDescent="0.35">
      <c r="A8" s="4"/>
      <c r="B8" s="3">
        <v>4</v>
      </c>
      <c r="C8" s="3">
        <f t="shared" si="0"/>
        <v>16</v>
      </c>
      <c r="D8" s="3">
        <v>3</v>
      </c>
      <c r="E8" s="3">
        <f t="shared" si="1"/>
        <v>9</v>
      </c>
      <c r="F8" s="3">
        <v>2</v>
      </c>
      <c r="G8" s="3">
        <f t="shared" si="2"/>
        <v>4</v>
      </c>
      <c r="H8" s="3">
        <f t="shared" si="3"/>
        <v>9</v>
      </c>
      <c r="I8" s="3">
        <f t="shared" si="4"/>
        <v>29</v>
      </c>
      <c r="N8" t="s">
        <v>34</v>
      </c>
      <c r="O8">
        <f>COUNT(D5:D8)+COUNT(D10:D13)</f>
        <v>8</v>
      </c>
    </row>
    <row r="9" spans="1:15" ht="34" customHeight="1" x14ac:dyDescent="0.35">
      <c r="A9" s="3"/>
      <c r="B9" s="3">
        <f>SUM(B5:B8)</f>
        <v>25</v>
      </c>
      <c r="C9" s="3">
        <f t="shared" ref="C9:I9" si="5">SUM(C5:C8)</f>
        <v>165</v>
      </c>
      <c r="D9" s="3">
        <f t="shared" si="5"/>
        <v>19</v>
      </c>
      <c r="E9" s="3">
        <f t="shared" si="5"/>
        <v>99</v>
      </c>
      <c r="F9" s="3">
        <f t="shared" si="5"/>
        <v>14</v>
      </c>
      <c r="G9" s="3">
        <f t="shared" si="5"/>
        <v>54</v>
      </c>
      <c r="H9" s="3">
        <f t="shared" si="5"/>
        <v>58</v>
      </c>
      <c r="I9" s="3">
        <f t="shared" si="5"/>
        <v>318</v>
      </c>
      <c r="N9" t="s">
        <v>33</v>
      </c>
      <c r="O9">
        <f>COUNT(F5:F8)+COUNT(F10:F13)</f>
        <v>8</v>
      </c>
    </row>
    <row r="10" spans="1:15" x14ac:dyDescent="0.35">
      <c r="A10" s="4"/>
      <c r="B10" s="3">
        <v>9</v>
      </c>
      <c r="C10" s="3">
        <f>B10^2</f>
        <v>81</v>
      </c>
      <c r="D10" s="3">
        <v>8</v>
      </c>
      <c r="E10" s="3">
        <f>D10^2</f>
        <v>64</v>
      </c>
      <c r="F10" s="3">
        <v>5</v>
      </c>
      <c r="G10" s="3">
        <f>F10^2</f>
        <v>25</v>
      </c>
      <c r="H10" s="3">
        <f>B10+D10+F10</f>
        <v>22</v>
      </c>
      <c r="I10" s="3">
        <f>C10+E10+G10</f>
        <v>170</v>
      </c>
      <c r="N10" t="s">
        <v>36</v>
      </c>
      <c r="O10">
        <v>4</v>
      </c>
    </row>
    <row r="11" spans="1:15" x14ac:dyDescent="0.35">
      <c r="A11" s="4"/>
      <c r="B11" s="3">
        <v>8</v>
      </c>
      <c r="C11" s="3">
        <f t="shared" ref="C11:C13" si="6">B11^2</f>
        <v>64</v>
      </c>
      <c r="D11" s="3">
        <v>6</v>
      </c>
      <c r="E11" s="3">
        <f t="shared" ref="E11:E13" si="7">D11^2</f>
        <v>36</v>
      </c>
      <c r="F11" s="3">
        <v>6</v>
      </c>
      <c r="G11" s="3">
        <f t="shared" ref="G11:G13" si="8">F11^2</f>
        <v>36</v>
      </c>
      <c r="H11" s="3">
        <f t="shared" ref="H11:H13" si="9">B11+D11+F11</f>
        <v>20</v>
      </c>
      <c r="I11" s="3">
        <f t="shared" ref="I11:I13" si="10">C11+E11+G11</f>
        <v>136</v>
      </c>
    </row>
    <row r="12" spans="1:15" x14ac:dyDescent="0.35">
      <c r="A12" s="4"/>
      <c r="B12" s="3">
        <v>7</v>
      </c>
      <c r="C12" s="3">
        <f t="shared" si="6"/>
        <v>49</v>
      </c>
      <c r="D12" s="3">
        <v>5</v>
      </c>
      <c r="E12" s="3">
        <f t="shared" si="7"/>
        <v>25</v>
      </c>
      <c r="F12" s="3">
        <v>4</v>
      </c>
      <c r="G12" s="3">
        <f t="shared" si="8"/>
        <v>16</v>
      </c>
      <c r="H12" s="3">
        <f t="shared" si="9"/>
        <v>16</v>
      </c>
      <c r="I12" s="3">
        <f t="shared" si="10"/>
        <v>90</v>
      </c>
    </row>
    <row r="13" spans="1:15" x14ac:dyDescent="0.35">
      <c r="A13" s="4"/>
      <c r="B13" s="3">
        <v>6</v>
      </c>
      <c r="C13" s="3">
        <f t="shared" si="6"/>
        <v>36</v>
      </c>
      <c r="D13" s="3">
        <v>4</v>
      </c>
      <c r="E13" s="3">
        <f t="shared" si="7"/>
        <v>16</v>
      </c>
      <c r="F13" s="3">
        <v>3</v>
      </c>
      <c r="G13" s="3">
        <f t="shared" si="8"/>
        <v>9</v>
      </c>
      <c r="H13" s="3">
        <f t="shared" si="9"/>
        <v>13</v>
      </c>
      <c r="I13" s="3">
        <f t="shared" si="10"/>
        <v>61</v>
      </c>
    </row>
    <row r="14" spans="1:15" ht="32" customHeight="1" x14ac:dyDescent="0.35">
      <c r="A14" s="3"/>
      <c r="B14" s="3">
        <f>SUM(B10:B13)</f>
        <v>30</v>
      </c>
      <c r="C14" s="3">
        <f t="shared" ref="C14:I14" si="11">SUM(C10:C13)</f>
        <v>230</v>
      </c>
      <c r="D14" s="3">
        <f t="shared" si="11"/>
        <v>23</v>
      </c>
      <c r="E14" s="3">
        <f t="shared" si="11"/>
        <v>141</v>
      </c>
      <c r="F14" s="3">
        <f t="shared" si="11"/>
        <v>18</v>
      </c>
      <c r="G14" s="3">
        <f t="shared" si="11"/>
        <v>86</v>
      </c>
      <c r="H14" s="3">
        <f t="shared" si="11"/>
        <v>71</v>
      </c>
      <c r="I14" s="3">
        <f t="shared" si="11"/>
        <v>457</v>
      </c>
    </row>
    <row r="15" spans="1:15" ht="21" customHeight="1" x14ac:dyDescent="0.35">
      <c r="A15" s="2" t="s">
        <v>1</v>
      </c>
      <c r="B15" s="3">
        <f>B9+B14</f>
        <v>55</v>
      </c>
      <c r="C15" s="3">
        <f t="shared" ref="C15:I15" si="12">C9+C14</f>
        <v>395</v>
      </c>
      <c r="D15" s="3">
        <f t="shared" si="12"/>
        <v>42</v>
      </c>
      <c r="E15" s="3">
        <f t="shared" si="12"/>
        <v>240</v>
      </c>
      <c r="F15" s="3">
        <f t="shared" si="12"/>
        <v>32</v>
      </c>
      <c r="G15" s="3">
        <f t="shared" si="12"/>
        <v>140</v>
      </c>
      <c r="H15" s="3">
        <f t="shared" si="12"/>
        <v>129</v>
      </c>
      <c r="I15" s="3">
        <f t="shared" si="12"/>
        <v>775</v>
      </c>
    </row>
    <row r="17" spans="1:4" x14ac:dyDescent="0.35">
      <c r="A17" s="1" t="s">
        <v>7</v>
      </c>
    </row>
    <row r="18" spans="1:4" x14ac:dyDescent="0.35">
      <c r="A18" t="s">
        <v>2</v>
      </c>
    </row>
    <row r="19" spans="1:4" x14ac:dyDescent="0.35">
      <c r="A19" t="s">
        <v>3</v>
      </c>
    </row>
    <row r="20" spans="1:4" x14ac:dyDescent="0.35">
      <c r="A20" t="s">
        <v>4</v>
      </c>
    </row>
    <row r="21" spans="1:4" x14ac:dyDescent="0.35">
      <c r="A21" t="s">
        <v>5</v>
      </c>
    </row>
    <row r="22" spans="1:4" x14ac:dyDescent="0.35">
      <c r="A22" t="s">
        <v>25</v>
      </c>
    </row>
    <row r="23" spans="1:4" x14ac:dyDescent="0.35">
      <c r="A23" t="s">
        <v>26</v>
      </c>
    </row>
    <row r="24" spans="1:4" x14ac:dyDescent="0.35">
      <c r="A24" t="s">
        <v>27</v>
      </c>
    </row>
    <row r="25" spans="1:4" x14ac:dyDescent="0.35">
      <c r="A25" t="s">
        <v>6</v>
      </c>
    </row>
    <row r="28" spans="1:4" x14ac:dyDescent="0.35">
      <c r="A28" s="1" t="s">
        <v>8</v>
      </c>
    </row>
    <row r="30" spans="1:4" x14ac:dyDescent="0.35">
      <c r="A30" t="s">
        <v>10</v>
      </c>
    </row>
    <row r="32" spans="1:4" x14ac:dyDescent="0.35">
      <c r="A32" t="s">
        <v>11</v>
      </c>
      <c r="D32">
        <f>I15-(H15^2)/M5</f>
        <v>81.625</v>
      </c>
    </row>
    <row r="35" spans="1:6" x14ac:dyDescent="0.35">
      <c r="A35" t="s">
        <v>12</v>
      </c>
      <c r="F35" s="7">
        <f>((H9^2/O5)+H14^2/O6-H15^2/M5)</f>
        <v>7.0416666666666288</v>
      </c>
    </row>
    <row r="38" spans="1:6" x14ac:dyDescent="0.35">
      <c r="A38" t="s">
        <v>13</v>
      </c>
      <c r="F38">
        <f>B15^2/O7+D15^2/O8+F15^2/O9-(H15^2)/M5</f>
        <v>33.25</v>
      </c>
    </row>
    <row r="41" spans="1:6" x14ac:dyDescent="0.35">
      <c r="A41" t="s">
        <v>14</v>
      </c>
      <c r="F41">
        <f>(B9^2/O10+D9^2/O10+F9^2/O10+B14^2/O10+D14^2/O10+F14^2/O10)-H15^2/M5-(F35+F38)</f>
        <v>8.3333333333371229E-2</v>
      </c>
    </row>
    <row r="44" spans="1:6" x14ac:dyDescent="0.35">
      <c r="A44" t="s">
        <v>15</v>
      </c>
      <c r="E44" s="8">
        <f>D32-(F35+F38+F41)</f>
        <v>41.25</v>
      </c>
    </row>
    <row r="47" spans="1:6" x14ac:dyDescent="0.35">
      <c r="A47" t="s">
        <v>16</v>
      </c>
    </row>
    <row r="49" spans="1:7" x14ac:dyDescent="0.35">
      <c r="A49" t="s">
        <v>11</v>
      </c>
      <c r="D49">
        <f>M5-1</f>
        <v>23</v>
      </c>
    </row>
    <row r="51" spans="1:7" x14ac:dyDescent="0.35">
      <c r="A51" t="s">
        <v>17</v>
      </c>
      <c r="D51">
        <f>M6-1</f>
        <v>1</v>
      </c>
    </row>
    <row r="53" spans="1:7" x14ac:dyDescent="0.35">
      <c r="A53" t="s">
        <v>13</v>
      </c>
      <c r="D53">
        <f>M7-1</f>
        <v>2</v>
      </c>
    </row>
    <row r="55" spans="1:7" x14ac:dyDescent="0.35">
      <c r="A55" t="s">
        <v>18</v>
      </c>
      <c r="D55">
        <f>D51*D53</f>
        <v>2</v>
      </c>
    </row>
    <row r="57" spans="1:7" x14ac:dyDescent="0.35">
      <c r="A57" t="s">
        <v>19</v>
      </c>
      <c r="E57">
        <f>D49-(D51+D53+D55)</f>
        <v>18</v>
      </c>
    </row>
    <row r="60" spans="1:7" x14ac:dyDescent="0.35">
      <c r="A60" t="s">
        <v>20</v>
      </c>
    </row>
    <row r="62" spans="1:7" x14ac:dyDescent="0.35">
      <c r="A62" t="s">
        <v>11</v>
      </c>
      <c r="C62" s="7">
        <f>F35/D51</f>
        <v>7.0416666666666288</v>
      </c>
      <c r="E62" t="s">
        <v>13</v>
      </c>
      <c r="G62">
        <f>F41/D55</f>
        <v>4.1666666666685614E-2</v>
      </c>
    </row>
    <row r="65" spans="1:8" x14ac:dyDescent="0.35">
      <c r="A65" t="s">
        <v>17</v>
      </c>
      <c r="C65">
        <f>F38/D53</f>
        <v>16.625</v>
      </c>
      <c r="E65" t="s">
        <v>14</v>
      </c>
      <c r="G65" s="7">
        <f>E44/E57</f>
        <v>2.2916666666666665</v>
      </c>
    </row>
    <row r="68" spans="1:8" x14ac:dyDescent="0.35">
      <c r="A68" t="s">
        <v>30</v>
      </c>
    </row>
    <row r="70" spans="1:8" x14ac:dyDescent="0.35">
      <c r="A70" t="s">
        <v>11</v>
      </c>
      <c r="C70" s="7">
        <f>C62/G65</f>
        <v>3.0727272727272563</v>
      </c>
      <c r="E70" t="s">
        <v>12</v>
      </c>
      <c r="G70" s="6">
        <f>C65/G65</f>
        <v>7.2545454545454549</v>
      </c>
    </row>
    <row r="72" spans="1:8" x14ac:dyDescent="0.35">
      <c r="A72" t="s">
        <v>13</v>
      </c>
      <c r="C72">
        <f>G62/G65</f>
        <v>1.8181818181826452E-2</v>
      </c>
    </row>
    <row r="75" spans="1:8" x14ac:dyDescent="0.35">
      <c r="A75" t="s">
        <v>21</v>
      </c>
    </row>
    <row r="76" spans="1:8" x14ac:dyDescent="0.35">
      <c r="A76" t="s">
        <v>28</v>
      </c>
    </row>
    <row r="78" spans="1:8" x14ac:dyDescent="0.35">
      <c r="B78">
        <f>4.41</f>
        <v>4.41</v>
      </c>
      <c r="E78">
        <f>3.55</f>
        <v>3.55</v>
      </c>
      <c r="H78">
        <v>3.55</v>
      </c>
    </row>
    <row r="81" spans="1:1" x14ac:dyDescent="0.35">
      <c r="A81" t="s">
        <v>29</v>
      </c>
    </row>
    <row r="82" spans="1:1" x14ac:dyDescent="0.35">
      <c r="A82" t="s">
        <v>22</v>
      </c>
    </row>
    <row r="83" spans="1:1" x14ac:dyDescent="0.35">
      <c r="A83" t="s">
        <v>23</v>
      </c>
    </row>
    <row r="85" spans="1:1" x14ac:dyDescent="0.35">
      <c r="A85" t="s">
        <v>24</v>
      </c>
    </row>
    <row r="86" spans="1:1" x14ac:dyDescent="0.35">
      <c r="A86" t="s">
        <v>37</v>
      </c>
    </row>
    <row r="87" spans="1:1" x14ac:dyDescent="0.35">
      <c r="A87" t="s">
        <v>38</v>
      </c>
    </row>
    <row r="88" spans="1:1" x14ac:dyDescent="0.35">
      <c r="A88" t="s">
        <v>39</v>
      </c>
    </row>
  </sheetData>
  <mergeCells count="7">
    <mergeCell ref="A10:A13"/>
    <mergeCell ref="H3:I3"/>
    <mergeCell ref="A3:A4"/>
    <mergeCell ref="B3:C3"/>
    <mergeCell ref="D3:E3"/>
    <mergeCell ref="F3:G3"/>
    <mergeCell ref="A5:A8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rahmat 687</cp:lastModifiedBy>
  <dcterms:created xsi:type="dcterms:W3CDTF">2023-06-05T13:03:19Z</dcterms:created>
  <dcterms:modified xsi:type="dcterms:W3CDTF">2024-05-20T03:22:15Z</dcterms:modified>
</cp:coreProperties>
</file>