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esktop\statistics\tugas\"/>
    </mc:Choice>
  </mc:AlternateContent>
  <xr:revisionPtr revIDLastSave="0" documentId="13_ncr:1_{2F20C4F7-44F2-4A67-BA5B-60376F2901CB}" xr6:coauthVersionLast="47" xr6:coauthVersionMax="47" xr10:uidLastSave="{00000000-0000-0000-0000-000000000000}"/>
  <bookViews>
    <workbookView xWindow="-110" yWindow="-110" windowWidth="19420" windowHeight="10300" xr2:uid="{F07E882B-2C48-442E-A127-C8A78B161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G47" i="1"/>
  <c r="G46" i="1"/>
  <c r="G45" i="1"/>
  <c r="G44" i="1"/>
  <c r="G43" i="1"/>
  <c r="F36" i="1"/>
  <c r="I39" i="1"/>
  <c r="H39" i="1"/>
  <c r="H38" i="1"/>
  <c r="H37" i="1"/>
  <c r="D25" i="1"/>
  <c r="H36" i="1"/>
  <c r="D24" i="1"/>
  <c r="C24" i="1"/>
  <c r="D28" i="1" s="1"/>
  <c r="Z10" i="1"/>
  <c r="Z3" i="1"/>
  <c r="Z4" i="1"/>
  <c r="Z5" i="1"/>
  <c r="Z6" i="1"/>
  <c r="Z7" i="1"/>
  <c r="Z8" i="1"/>
  <c r="Z9" i="1"/>
  <c r="Z2" i="1"/>
  <c r="Y10" i="1"/>
  <c r="Y3" i="1"/>
  <c r="Y4" i="1"/>
  <c r="Y5" i="1"/>
  <c r="Y6" i="1"/>
  <c r="Y7" i="1"/>
  <c r="Y8" i="1"/>
  <c r="Y9" i="1"/>
  <c r="Y2" i="1"/>
  <c r="X10" i="1"/>
  <c r="X3" i="1"/>
  <c r="X4" i="1"/>
  <c r="X5" i="1"/>
  <c r="X6" i="1"/>
  <c r="X7" i="1"/>
  <c r="X8" i="1"/>
  <c r="X9" i="1"/>
  <c r="X2" i="1"/>
  <c r="W10" i="1"/>
  <c r="V10" i="1"/>
</calcChain>
</file>

<file path=xl/sharedStrings.xml><?xml version="1.0" encoding="utf-8"?>
<sst xmlns="http://schemas.openxmlformats.org/spreadsheetml/2006/main" count="44" uniqueCount="44">
  <si>
    <t>Perusahaan barang elektronik PT Cahaya Abadi ingin mengetahui pengaruh</t>
  </si>
  <si>
    <t>Diambil sampel secara acak sebanyak 8 orang pegawai</t>
  </si>
  <si>
    <t>Pengalaman Kerja (x) tahun</t>
  </si>
  <si>
    <t>penjualan barang (y) unit</t>
  </si>
  <si>
    <t xml:space="preserve">antara pengalaman kerja (X) dengan jumlah penjualan barang (Y). </t>
  </si>
  <si>
    <t>Divisi Marketing dengan data sebagai berikut:</t>
  </si>
  <si>
    <t>Carilah persamaan regresi berdasarkan data tersebut dan buktikan apakah</t>
  </si>
  <si>
    <t>terdapat pengaruh yang signifikan antara variable bebas (pengalaman kerja)</t>
  </si>
  <si>
    <t>dan variable terikat (jumlah penjualan barang)!</t>
  </si>
  <si>
    <t>NO</t>
  </si>
  <si>
    <t>Total</t>
  </si>
  <si>
    <t>X</t>
  </si>
  <si>
    <t>Y</t>
  </si>
  <si>
    <t>X^2</t>
  </si>
  <si>
    <t>Y^2</t>
  </si>
  <si>
    <t>XY</t>
  </si>
  <si>
    <t>LANGKAH'' UJI REGRASI SEDERHANA</t>
  </si>
  <si>
    <t>1. Langkah pertama adalah menentukan Ho dan Ha dalam bentuk kalimat maupun statistika.</t>
  </si>
  <si>
    <t>Ho: Tidak terdapat pengaruh yang signifikan antara pengalaman kerja</t>
  </si>
  <si>
    <t>terhadap penjualan. (Ho: r = 0)</t>
  </si>
  <si>
    <t xml:space="preserve">Ha: Terdapat pengaruh yang signifikan antara pengalaman kerja terhadap </t>
  </si>
  <si>
    <t>penjualan barang. (Ha: r ≠ 0)</t>
  </si>
  <si>
    <t>2. Buat ho dan ha dalam bentuk  statistika</t>
  </si>
  <si>
    <t>(Ho: r = 0)</t>
  </si>
  <si>
    <t>(Ha: r ≠ 0)</t>
  </si>
  <si>
    <t xml:space="preserve">3 menghitung nilai konstanta  b: </t>
  </si>
  <si>
    <t xml:space="preserve">n = </t>
  </si>
  <si>
    <t xml:space="preserve">k = </t>
  </si>
  <si>
    <t xml:space="preserve">4. menghitung niali konstanta a: </t>
  </si>
  <si>
    <t>5. mencari  persamaan regrasi linear sederhana</t>
  </si>
  <si>
    <t>Y=a+bX = 29 + 6,211X</t>
  </si>
  <si>
    <t>6. metode pearsons product moment</t>
  </si>
  <si>
    <t>7. menghitung Thitung</t>
  </si>
  <si>
    <t>n-2 =</t>
  </si>
  <si>
    <t>akar n-2 =</t>
  </si>
  <si>
    <t>r^2</t>
  </si>
  <si>
    <t>1-r^2</t>
  </si>
  <si>
    <t>akar 1-r^2</t>
  </si>
  <si>
    <t>8 mencari Ttabel</t>
  </si>
  <si>
    <t>9. uji signifikan dilakukan dengan kaidah</t>
  </si>
  <si>
    <t>karena Thitung &lt; Ttabel, maka tidak ada hubungan antara variabel bebas dan variabel terikat</t>
  </si>
  <si>
    <t>10. penarikan kesimpulan</t>
  </si>
  <si>
    <t>berdasarkan uji signifikansi diatas maka disimpulkan bahwa Tidak Terdapat pengaruh yang signifikan antara pengalaman kerja (X) terhadap penjualan barang (Y).</t>
  </si>
  <si>
    <t xml:space="preserve">t(6,0.025)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</si>
</sst>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7" formatCode="0.000"/>
  </numFmts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1" fillId="2" borderId="1" xfId="1" applyAlignment="1">
      <alignment horizontal="left"/>
    </xf>
    <xf numFmtId="16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164192</xdr:colOff>
      <xdr:row>23</xdr:row>
      <xdr:rowOff>19050</xdr:rowOff>
    </xdr:from>
    <xdr:ext cx="942053" cy="2857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89B1D41-D334-1AC3-E6AA-829E9D1F4C9F}"/>
                </a:ext>
              </a:extLst>
            </xdr:cNvPr>
            <xdr:cNvSpPr txBox="1"/>
          </xdr:nvSpPr>
          <xdr:spPr>
            <a:xfrm>
              <a:off x="164192" y="4235987"/>
              <a:ext cx="942053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b</a:t>
              </a:r>
              <a:r>
                <a:rPr lang="en-ID" sz="11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𝑛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.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𝑋𝑌</m:t>
                          </m:r>
                        </m:e>
                      </m:nary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</m:nary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.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𝑌</m:t>
                          </m:r>
                        </m:e>
                      </m:nary>
                    </m:num>
                    <m:den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𝑛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.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sSup>
                            <m:sSupPr>
                              <m:ctrlP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𝑋</m:t>
                              </m:r>
                            </m:e>
                            <m:sup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+mn-lt"/>
                                      <a:ea typeface="+mn-ea"/>
                                      <a:cs typeface="+mn-cs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+mn-lt"/>
                                      <a:ea typeface="+mn-ea"/>
                                      <a:cs typeface="+mn-cs"/>
                                    </a:rPr>
                                    <m:t>𝑋</m:t>
                                  </m:r>
                                  <m: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+mn-lt"/>
                                      <a:ea typeface="+mn-ea"/>
                                      <a:cs typeface="+mn-cs"/>
                                    </a:rPr>
                                    <m:t>)</m:t>
                                  </m:r>
                                </m:e>
                              </m:nary>
                            </m:e>
                            <m:sup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e>
                      </m:nary>
                    </m:den>
                  </m:f>
                </m:oMath>
              </a14:m>
              <a:endParaRPr lang="en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89B1D41-D334-1AC3-E6AA-829E9D1F4C9F}"/>
                </a:ext>
              </a:extLst>
            </xdr:cNvPr>
            <xdr:cNvSpPr txBox="1"/>
          </xdr:nvSpPr>
          <xdr:spPr>
            <a:xfrm>
              <a:off x="164192" y="4235987"/>
              <a:ext cx="942053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b</a:t>
              </a:r>
              <a:r>
                <a:rPr lang="en-ID" sz="11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𝑛.∑▒𝑋𝑌−∑▒𝑋.∑▒𝑌)/(𝑛.∑▒〖𝑋^2−〖(∑▒〖𝑋)〗〗^2 〗)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26</xdr:row>
      <xdr:rowOff>149413</xdr:rowOff>
    </xdr:from>
    <xdr:ext cx="1673412" cy="4631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0D7B6F1-750A-3EAD-0A0F-EE53869FDB56}"/>
                </a:ext>
              </a:extLst>
            </xdr:cNvPr>
            <xdr:cNvSpPr txBox="1"/>
          </xdr:nvSpPr>
          <xdr:spPr>
            <a:xfrm>
              <a:off x="1" y="5005295"/>
              <a:ext cx="1673412" cy="463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𝑎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𝑌</m:t>
                            </m:r>
                          </m:e>
                        </m:nary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𝑏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𝑋</m:t>
                            </m:r>
                          </m:e>
                        </m:nary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0D7B6F1-750A-3EAD-0A0F-EE53869FDB56}"/>
                </a:ext>
              </a:extLst>
            </xdr:cNvPr>
            <xdr:cNvSpPr txBox="1"/>
          </xdr:nvSpPr>
          <xdr:spPr>
            <a:xfrm>
              <a:off x="1" y="5005295"/>
              <a:ext cx="1673412" cy="463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𝑎=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(∑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▒𝑌−𝑏.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▒𝑋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34</xdr:row>
      <xdr:rowOff>129350</xdr:rowOff>
    </xdr:from>
    <xdr:ext cx="2657591" cy="4468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F953ED2-98B2-B3FF-D5C1-C3B09F6834F9}"/>
                </a:ext>
              </a:extLst>
            </xdr:cNvPr>
            <xdr:cNvSpPr txBox="1"/>
          </xdr:nvSpPr>
          <xdr:spPr>
            <a:xfrm>
              <a:off x="0" y="6526387"/>
              <a:ext cx="2657591" cy="4468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𝑥𝑦</m:t>
                                </m:r>
                              </m:e>
                            </m:nary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nary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nary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[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nary>
                                          <m:naryPr>
                                            <m:chr m:val="∑"/>
                                            <m:subHide m:val="on"/>
                                            <m:supHide m:val="on"/>
                                            <m:ctrlPr>
                                              <a:rPr 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naryPr>
                                          <m:sub/>
                                          <m:sup/>
                                          <m:e>
                                            <m:r>
                                              <a:rPr 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+mn-lt"/>
                                                <a:ea typeface="+mn-ea"/>
                                                <a:cs typeface="+mn-cs"/>
                                              </a:rPr>
                                              <m:t>𝑥</m:t>
                                            </m:r>
                                          </m:e>
                                        </m:nary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][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e>
                                      <m:sup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nary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e>
                                    </m:nary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</m:e>
                        </m:rad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F953ED2-98B2-B3FF-D5C1-C3B09F6834F9}"/>
                </a:ext>
              </a:extLst>
            </xdr:cNvPr>
            <xdr:cNvSpPr txBox="1"/>
          </xdr:nvSpPr>
          <xdr:spPr>
            <a:xfrm>
              <a:off x="0" y="6526387"/>
              <a:ext cx="2657591" cy="4468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𝑟=(𝑛(∑▒𝑥𝑦)−(∑▒𝑥.∑▒𝑦))/√([𝑛∑▒〖𝑥^2−(∑▒𝑥)^2][𝑛∑▒𝑦^2 −〖(∑▒𝑦)〗^2 〗)=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270462</xdr:colOff>
      <xdr:row>41</xdr:row>
      <xdr:rowOff>148402</xdr:rowOff>
    </xdr:from>
    <xdr:ext cx="2140186" cy="38773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B04FFF0-F27C-3F10-E56C-F01EDFA5B8BB}"/>
                </a:ext>
              </a:extLst>
            </xdr:cNvPr>
            <xdr:cNvSpPr txBox="1"/>
          </xdr:nvSpPr>
          <xdr:spPr>
            <a:xfrm>
              <a:off x="270462" y="7862476"/>
              <a:ext cx="2140186" cy="387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h𝑖𝑡𝑢𝑛𝑔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−2</m:t>
                            </m:r>
                          </m:e>
                        </m:rad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B04FFF0-F27C-3F10-E56C-F01EDFA5B8BB}"/>
                </a:ext>
              </a:extLst>
            </xdr:cNvPr>
            <xdr:cNvSpPr txBox="1"/>
          </xdr:nvSpPr>
          <xdr:spPr>
            <a:xfrm>
              <a:off x="270462" y="7862476"/>
              <a:ext cx="2140186" cy="387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ℎ𝑖𝑡𝑢𝑛𝑔=(𝑟√(𝑛−2))/√(1−𝑟^2 )=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136258</xdr:colOff>
      <xdr:row>50</xdr:row>
      <xdr:rowOff>13117</xdr:rowOff>
    </xdr:from>
    <xdr:ext cx="1217705" cy="185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90C7D8-AC2B-D09A-BA31-0228C35E5DE7}"/>
                </a:ext>
              </a:extLst>
            </xdr:cNvPr>
            <xdr:cNvSpPr txBox="1"/>
          </xdr:nvSpPr>
          <xdr:spPr>
            <a:xfrm>
              <a:off x="136258" y="9230859"/>
              <a:ext cx="1217705" cy="185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𝑡𝑎𝑏𝑙𝑒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,  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/2)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90C7D8-AC2B-D09A-BA31-0228C35E5DE7}"/>
                </a:ext>
              </a:extLst>
            </xdr:cNvPr>
            <xdr:cNvSpPr txBox="1"/>
          </xdr:nvSpPr>
          <xdr:spPr>
            <a:xfrm>
              <a:off x="136258" y="9230859"/>
              <a:ext cx="1217705" cy="185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𝑡𝑎𝑏𝑙𝑒=𝑡_((𝑛−𝑘,   𝛼/2))=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A5F6-DF02-4F10-84DA-2FC9051A667F}">
  <dimension ref="A1:Z72"/>
  <sheetViews>
    <sheetView tabSelected="1" topLeftCell="B1" zoomScale="73" workbookViewId="0">
      <selection activeCell="Q15" sqref="Q15"/>
    </sheetView>
  </sheetViews>
  <sheetFormatPr defaultRowHeight="14.5" x14ac:dyDescent="0.35"/>
  <cols>
    <col min="1" max="2" width="8.7265625" style="1"/>
    <col min="3" max="3" width="18.26953125" style="1" customWidth="1"/>
    <col min="4" max="16384" width="8.7265625" style="1"/>
  </cols>
  <sheetData>
    <row r="1" spans="1:26" x14ac:dyDescent="0.35">
      <c r="A1" s="3" t="s">
        <v>0</v>
      </c>
      <c r="B1" s="3"/>
      <c r="C1" s="3"/>
      <c r="D1" s="3"/>
      <c r="H1" s="3"/>
      <c r="I1" s="4" t="s">
        <v>2</v>
      </c>
      <c r="J1" s="4"/>
      <c r="K1" s="4"/>
      <c r="L1" s="2">
        <v>1</v>
      </c>
      <c r="M1" s="2">
        <v>4</v>
      </c>
      <c r="N1" s="2">
        <v>1</v>
      </c>
      <c r="O1" s="2">
        <v>4</v>
      </c>
      <c r="P1" s="2">
        <v>1</v>
      </c>
      <c r="Q1" s="2">
        <v>3</v>
      </c>
      <c r="R1" s="2">
        <v>3</v>
      </c>
      <c r="S1" s="2">
        <v>2</v>
      </c>
      <c r="U1" s="2" t="s">
        <v>9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</row>
    <row r="2" spans="1:26" x14ac:dyDescent="0.35">
      <c r="A2" s="3" t="s">
        <v>4</v>
      </c>
      <c r="B2" s="3"/>
      <c r="C2" s="3"/>
      <c r="D2" s="3"/>
      <c r="H2" s="3"/>
      <c r="I2" s="4" t="s">
        <v>3</v>
      </c>
      <c r="J2" s="4"/>
      <c r="K2" s="4"/>
      <c r="L2" s="2">
        <v>50</v>
      </c>
      <c r="M2" s="2">
        <v>45</v>
      </c>
      <c r="N2" s="2">
        <v>30</v>
      </c>
      <c r="O2" s="2">
        <v>65</v>
      </c>
      <c r="P2" s="2">
        <v>30</v>
      </c>
      <c r="Q2" s="2">
        <v>45</v>
      </c>
      <c r="R2" s="2">
        <v>50</v>
      </c>
      <c r="S2" s="2">
        <v>35</v>
      </c>
      <c r="U2" s="2">
        <v>1</v>
      </c>
      <c r="V2" s="2">
        <v>1</v>
      </c>
      <c r="W2" s="2">
        <v>50</v>
      </c>
      <c r="X2" s="2">
        <f>V2^2</f>
        <v>1</v>
      </c>
      <c r="Y2" s="2">
        <f>W2^2</f>
        <v>2500</v>
      </c>
      <c r="Z2" s="2">
        <f>V2*W2</f>
        <v>50</v>
      </c>
    </row>
    <row r="3" spans="1:26" x14ac:dyDescent="0.35">
      <c r="A3" s="3" t="s">
        <v>1</v>
      </c>
      <c r="B3" s="3"/>
      <c r="C3" s="3"/>
      <c r="D3" s="3"/>
      <c r="U3" s="2">
        <v>2</v>
      </c>
      <c r="V3" s="2">
        <v>4</v>
      </c>
      <c r="W3" s="2">
        <v>45</v>
      </c>
      <c r="X3" s="2">
        <f t="shared" ref="X3:X9" si="0">V3^2</f>
        <v>16</v>
      </c>
      <c r="Y3" s="2">
        <f t="shared" ref="Y3:Y9" si="1">W3^2</f>
        <v>2025</v>
      </c>
      <c r="Z3" s="2">
        <f t="shared" ref="Z3:Z9" si="2">V3*W3</f>
        <v>180</v>
      </c>
    </row>
    <row r="4" spans="1:26" x14ac:dyDescent="0.35">
      <c r="A4" s="3" t="s">
        <v>5</v>
      </c>
      <c r="B4" s="3"/>
      <c r="C4" s="3"/>
      <c r="D4" s="3"/>
      <c r="L4" s="1" t="s">
        <v>26</v>
      </c>
      <c r="M4" s="1">
        <v>8</v>
      </c>
      <c r="U4" s="2">
        <v>3</v>
      </c>
      <c r="V4" s="2">
        <v>1</v>
      </c>
      <c r="W4" s="2">
        <v>30</v>
      </c>
      <c r="X4" s="2">
        <f t="shared" si="0"/>
        <v>1</v>
      </c>
      <c r="Y4" s="2">
        <f t="shared" si="1"/>
        <v>900</v>
      </c>
      <c r="Z4" s="2">
        <f t="shared" si="2"/>
        <v>30</v>
      </c>
    </row>
    <row r="5" spans="1:26" x14ac:dyDescent="0.35">
      <c r="A5" s="3"/>
      <c r="B5" s="3"/>
      <c r="C5" s="3"/>
      <c r="D5" s="3"/>
      <c r="L5" s="1" t="s">
        <v>27</v>
      </c>
      <c r="M5" s="1">
        <v>2</v>
      </c>
      <c r="U5" s="2">
        <v>4</v>
      </c>
      <c r="V5" s="2">
        <v>4</v>
      </c>
      <c r="W5" s="2">
        <v>65</v>
      </c>
      <c r="X5" s="2">
        <f t="shared" si="0"/>
        <v>16</v>
      </c>
      <c r="Y5" s="2">
        <f t="shared" si="1"/>
        <v>4225</v>
      </c>
      <c r="Z5" s="2">
        <f t="shared" si="2"/>
        <v>260</v>
      </c>
    </row>
    <row r="6" spans="1:26" x14ac:dyDescent="0.35">
      <c r="A6" s="3" t="s">
        <v>6</v>
      </c>
      <c r="B6" s="3"/>
      <c r="C6" s="3"/>
      <c r="D6" s="3"/>
      <c r="U6" s="2">
        <v>5</v>
      </c>
      <c r="V6" s="2">
        <v>1</v>
      </c>
      <c r="W6" s="2">
        <v>30</v>
      </c>
      <c r="X6" s="2">
        <f t="shared" si="0"/>
        <v>1</v>
      </c>
      <c r="Y6" s="2">
        <f t="shared" si="1"/>
        <v>900</v>
      </c>
      <c r="Z6" s="2">
        <f t="shared" si="2"/>
        <v>30</v>
      </c>
    </row>
    <row r="7" spans="1:26" x14ac:dyDescent="0.35">
      <c r="A7" s="3" t="s">
        <v>7</v>
      </c>
      <c r="B7" s="3"/>
      <c r="C7" s="3"/>
      <c r="D7" s="3"/>
      <c r="U7" s="2">
        <v>6</v>
      </c>
      <c r="V7" s="2">
        <v>3</v>
      </c>
      <c r="W7" s="2">
        <v>45</v>
      </c>
      <c r="X7" s="2">
        <f t="shared" si="0"/>
        <v>9</v>
      </c>
      <c r="Y7" s="2">
        <f t="shared" si="1"/>
        <v>2025</v>
      </c>
      <c r="Z7" s="2">
        <f t="shared" si="2"/>
        <v>135</v>
      </c>
    </row>
    <row r="8" spans="1:26" x14ac:dyDescent="0.35">
      <c r="A8" s="3" t="s">
        <v>8</v>
      </c>
      <c r="B8" s="3"/>
      <c r="C8" s="3"/>
      <c r="D8" s="3"/>
      <c r="U8" s="2">
        <v>7</v>
      </c>
      <c r="V8" s="2">
        <v>3</v>
      </c>
      <c r="W8" s="2">
        <v>50</v>
      </c>
      <c r="X8" s="2">
        <f t="shared" si="0"/>
        <v>9</v>
      </c>
      <c r="Y8" s="2">
        <f t="shared" si="1"/>
        <v>2500</v>
      </c>
      <c r="Z8" s="2">
        <f t="shared" si="2"/>
        <v>150</v>
      </c>
    </row>
    <row r="9" spans="1:26" x14ac:dyDescent="0.35">
      <c r="A9" s="3"/>
      <c r="B9" s="3"/>
      <c r="C9" s="3"/>
      <c r="D9" s="3"/>
      <c r="U9" s="2">
        <v>8</v>
      </c>
      <c r="V9" s="2">
        <v>2</v>
      </c>
      <c r="W9" s="2">
        <v>35</v>
      </c>
      <c r="X9" s="2">
        <f t="shared" si="0"/>
        <v>4</v>
      </c>
      <c r="Y9" s="2">
        <f t="shared" si="1"/>
        <v>1225</v>
      </c>
      <c r="Z9" s="2">
        <f t="shared" si="2"/>
        <v>70</v>
      </c>
    </row>
    <row r="10" spans="1:26" x14ac:dyDescent="0.35">
      <c r="A10" s="3"/>
      <c r="B10" s="3"/>
      <c r="C10" s="3"/>
      <c r="D10" s="3"/>
      <c r="E10" s="3"/>
      <c r="F10" s="3"/>
      <c r="G10" s="3"/>
      <c r="H10" s="3"/>
      <c r="I10" s="3"/>
      <c r="U10" s="2" t="s">
        <v>10</v>
      </c>
      <c r="V10" s="2">
        <f>SUM(V2:V9)</f>
        <v>19</v>
      </c>
      <c r="W10" s="2">
        <f>SUM(W2:W9)</f>
        <v>350</v>
      </c>
      <c r="X10" s="2">
        <f>SUM(X2:X9)</f>
        <v>57</v>
      </c>
      <c r="Y10" s="2">
        <f>SUM(Y2:Y9)</f>
        <v>16300</v>
      </c>
      <c r="Z10" s="2">
        <f>SUM(Z2:Z9)</f>
        <v>905</v>
      </c>
    </row>
    <row r="11" spans="1:26" x14ac:dyDescent="0.35">
      <c r="A11" s="3" t="s">
        <v>16</v>
      </c>
      <c r="B11" s="3"/>
      <c r="C11" s="3"/>
      <c r="D11" s="3"/>
      <c r="E11" s="3"/>
      <c r="F11" s="3"/>
      <c r="G11" s="3"/>
      <c r="H11" s="3"/>
      <c r="I11" s="3"/>
    </row>
    <row r="12" spans="1:26" x14ac:dyDescent="0.35">
      <c r="A12" s="3" t="s">
        <v>17</v>
      </c>
      <c r="B12" s="3"/>
      <c r="C12" s="3"/>
      <c r="D12" s="3"/>
      <c r="E12" s="3"/>
      <c r="F12" s="3"/>
      <c r="G12" s="3"/>
      <c r="H12" s="3"/>
      <c r="I12" s="3"/>
    </row>
    <row r="13" spans="1:26" x14ac:dyDescent="0.35">
      <c r="A13" s="3"/>
      <c r="B13" s="3" t="s">
        <v>18</v>
      </c>
      <c r="C13" s="3"/>
      <c r="D13" s="3"/>
      <c r="E13" s="3"/>
      <c r="F13" s="3"/>
      <c r="G13" s="3"/>
      <c r="H13" s="3"/>
      <c r="I13" s="3"/>
    </row>
    <row r="14" spans="1:26" x14ac:dyDescent="0.35">
      <c r="A14" s="3"/>
      <c r="B14" s="3" t="s">
        <v>19</v>
      </c>
      <c r="C14" s="3"/>
      <c r="D14" s="3"/>
      <c r="E14" s="3"/>
      <c r="F14" s="3"/>
      <c r="G14" s="3"/>
      <c r="H14" s="3"/>
      <c r="I14" s="3"/>
    </row>
    <row r="15" spans="1:26" x14ac:dyDescent="0.35">
      <c r="A15" s="3"/>
      <c r="B15" s="3" t="s">
        <v>20</v>
      </c>
      <c r="C15" s="3"/>
      <c r="D15" s="3"/>
      <c r="E15" s="3"/>
      <c r="F15" s="3"/>
      <c r="G15" s="3"/>
      <c r="H15" s="3"/>
      <c r="I15" s="3"/>
    </row>
    <row r="16" spans="1:26" x14ac:dyDescent="0.35">
      <c r="A16" s="3"/>
      <c r="B16" s="3" t="s">
        <v>21</v>
      </c>
      <c r="C16" s="3"/>
      <c r="D16" s="3"/>
      <c r="E16" s="3"/>
      <c r="F16" s="3"/>
      <c r="G16" s="3"/>
      <c r="H16" s="3"/>
      <c r="I16" s="3"/>
    </row>
    <row r="17" spans="1:18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18" x14ac:dyDescent="0.35">
      <c r="A18" s="3" t="s">
        <v>22</v>
      </c>
      <c r="B18" s="3"/>
      <c r="C18" s="3"/>
      <c r="D18" s="3"/>
      <c r="E18" s="3"/>
      <c r="F18" s="3"/>
      <c r="G18" s="3"/>
      <c r="H18" s="3"/>
      <c r="I18" s="3"/>
    </row>
    <row r="19" spans="1:18" x14ac:dyDescent="0.35">
      <c r="A19" s="3" t="s">
        <v>23</v>
      </c>
      <c r="B19" s="3"/>
      <c r="C19" s="3"/>
      <c r="D19" s="3"/>
      <c r="E19" s="3"/>
      <c r="F19" s="3"/>
      <c r="G19" s="3"/>
      <c r="H19" s="3"/>
      <c r="I19" s="3"/>
    </row>
    <row r="20" spans="1:18" x14ac:dyDescent="0.35">
      <c r="A20" s="3" t="s">
        <v>24</v>
      </c>
      <c r="B20" s="3"/>
      <c r="C20" s="3"/>
      <c r="D20" s="3"/>
      <c r="E20" s="3"/>
      <c r="F20" s="3"/>
      <c r="G20" s="3"/>
      <c r="H20" s="3"/>
      <c r="I20" s="3"/>
    </row>
    <row r="21" spans="1:18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18" x14ac:dyDescent="0.35">
      <c r="A22" s="3" t="s">
        <v>25</v>
      </c>
      <c r="B22" s="3"/>
      <c r="C22" s="3"/>
      <c r="D22" s="3"/>
      <c r="E22" s="3"/>
      <c r="F22" s="3"/>
      <c r="G22" s="3"/>
      <c r="H22" s="3"/>
      <c r="I22" s="3"/>
    </row>
    <row r="23" spans="1:18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18" x14ac:dyDescent="0.35">
      <c r="A24" s="3"/>
      <c r="B24" s="3"/>
      <c r="C24" s="6">
        <f>D24/D25</f>
        <v>6.2105263157894735</v>
      </c>
      <c r="D24" s="3">
        <f>(M4*Z10-V10*W10)</f>
        <v>590</v>
      </c>
      <c r="E24" s="3"/>
      <c r="F24" s="3"/>
      <c r="G24" s="3"/>
      <c r="H24" s="3"/>
      <c r="I24" s="3"/>
    </row>
    <row r="25" spans="1:18" x14ac:dyDescent="0.35">
      <c r="B25" s="3"/>
      <c r="C25" s="3"/>
      <c r="D25" s="3">
        <f>M4*X10-(V10^2)</f>
        <v>95</v>
      </c>
      <c r="E25" s="3"/>
      <c r="F25" s="3"/>
      <c r="G25" s="3"/>
      <c r="H25" s="3"/>
      <c r="I25" s="3"/>
    </row>
    <row r="26" spans="1:18" x14ac:dyDescent="0.35">
      <c r="A26" s="3" t="s">
        <v>28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5">
      <c r="A28" s="3"/>
      <c r="B28" s="3"/>
      <c r="C28" s="3"/>
      <c r="D28" s="3">
        <f>(W10-C24*V10)/M4</f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5">
      <c r="A31" s="3" t="s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5">
      <c r="A32" s="3" t="s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5">
      <c r="A34" s="3" t="s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5">
      <c r="A36" s="3"/>
      <c r="B36" s="3"/>
      <c r="C36" s="3"/>
      <c r="D36" s="3"/>
      <c r="E36" s="3"/>
      <c r="F36" s="6">
        <f>H36/I39</f>
        <v>0.681046340020386</v>
      </c>
      <c r="G36" s="3"/>
      <c r="H36" s="3">
        <f>(M4*Z10-V10*W10)</f>
        <v>590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5">
      <c r="A37" s="3"/>
      <c r="B37" s="3"/>
      <c r="C37" s="3"/>
      <c r="D37" s="3"/>
      <c r="E37" s="3"/>
      <c r="F37" s="3"/>
      <c r="G37" s="3"/>
      <c r="H37" s="3">
        <f>M4*X10-(V10^2)</f>
        <v>95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5">
      <c r="A38" s="3"/>
      <c r="B38" s="3"/>
      <c r="C38" s="3"/>
      <c r="D38" s="3"/>
      <c r="E38" s="3"/>
      <c r="F38" s="3"/>
      <c r="G38" s="3"/>
      <c r="H38" s="3">
        <f>M4*Y10-W10^2</f>
        <v>7900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5">
      <c r="A39" s="3"/>
      <c r="B39" s="3"/>
      <c r="C39" s="3"/>
      <c r="D39" s="3"/>
      <c r="E39" s="3"/>
      <c r="F39" s="3"/>
      <c r="G39" s="3"/>
      <c r="H39" s="3">
        <f>H37*H38</f>
        <v>750500</v>
      </c>
      <c r="I39" s="3">
        <f>SQRT(H39)</f>
        <v>866.31403082254189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5">
      <c r="A41" s="3" t="s">
        <v>32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5">
      <c r="A43" s="3"/>
      <c r="B43" s="3"/>
      <c r="C43" s="3"/>
      <c r="D43" s="3"/>
      <c r="E43" s="5">
        <f>F36*G44/G47</f>
        <v>2.2782356886157986</v>
      </c>
      <c r="F43" s="3" t="s">
        <v>33</v>
      </c>
      <c r="G43" s="3">
        <f>M4-2</f>
        <v>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5">
      <c r="F44" s="1" t="s">
        <v>34</v>
      </c>
      <c r="G44" s="1">
        <f>SQRT(G43)</f>
        <v>2.4494897427831779</v>
      </c>
    </row>
    <row r="45" spans="1:18" x14ac:dyDescent="0.35">
      <c r="F45" s="1" t="s">
        <v>35</v>
      </c>
      <c r="G45" s="7">
        <f>F36^2</f>
        <v>0.4638241172551632</v>
      </c>
    </row>
    <row r="46" spans="1:18" x14ac:dyDescent="0.35">
      <c r="F46" s="1" t="s">
        <v>36</v>
      </c>
      <c r="G46" s="7">
        <f>1-G45</f>
        <v>0.53617588274483685</v>
      </c>
    </row>
    <row r="47" spans="1:18" x14ac:dyDescent="0.35">
      <c r="F47" s="1" t="s">
        <v>37</v>
      </c>
      <c r="G47" s="1">
        <f>SQRT(G46)</f>
        <v>0.73224031761767727</v>
      </c>
    </row>
    <row r="49" spans="1:16" x14ac:dyDescent="0.35">
      <c r="A49" s="3" t="s">
        <v>38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5">
      <c r="A51" s="3"/>
      <c r="B51" s="3"/>
      <c r="C51" s="3"/>
      <c r="D51" s="3" t="s">
        <v>43</v>
      </c>
      <c r="E51" s="3">
        <v>2.4468999999999999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35">
      <c r="A54" s="3" t="s">
        <v>39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35">
      <c r="A56" s="3" t="s">
        <v>40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35">
      <c r="A58" s="3" t="s">
        <v>41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5">
      <c r="A59" s="3" t="s">
        <v>42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3" spans="1:16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6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687</dc:creator>
  <cp:lastModifiedBy>rahmat 687</cp:lastModifiedBy>
  <dcterms:created xsi:type="dcterms:W3CDTF">2024-05-13T02:18:10Z</dcterms:created>
  <dcterms:modified xsi:type="dcterms:W3CDTF">2024-05-13T03:42:27Z</dcterms:modified>
</cp:coreProperties>
</file>