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esktop\statistics\tugas\"/>
    </mc:Choice>
  </mc:AlternateContent>
  <xr:revisionPtr revIDLastSave="0" documentId="13_ncr:1_{1D0BE988-60F6-49D8-B849-55CC341BE82E}" xr6:coauthVersionLast="47" xr6:coauthVersionMax="47" xr10:uidLastSave="{00000000-0000-0000-0000-000000000000}"/>
  <bookViews>
    <workbookView xWindow="-110" yWindow="-110" windowWidth="19420" windowHeight="10300" xr2:uid="{38864DE5-4701-4992-BE7F-26D8B21C0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5" i="1"/>
  <c r="S14" i="1"/>
  <c r="S15" i="1" s="1"/>
  <c r="S13" i="1"/>
  <c r="S12" i="1"/>
  <c r="S11" i="1"/>
  <c r="U9" i="1"/>
  <c r="S9" i="1"/>
  <c r="X8" i="1"/>
  <c r="Y8" i="1" s="1"/>
  <c r="Z8" i="1" s="1"/>
  <c r="X7" i="1"/>
  <c r="Y7" i="1" s="1"/>
  <c r="Z7" i="1" s="1"/>
  <c r="X6" i="1"/>
  <c r="Y6" i="1" s="1"/>
  <c r="Z6" i="1" s="1"/>
  <c r="X5" i="1"/>
  <c r="Y5" i="1" s="1"/>
  <c r="Z5" i="1" s="1"/>
  <c r="X4" i="1"/>
  <c r="Y4" i="1" s="1"/>
  <c r="Z4" i="1" s="1"/>
  <c r="X3" i="1"/>
  <c r="Y3" i="1" s="1"/>
  <c r="Z3" i="1" s="1"/>
  <c r="V3" i="1"/>
  <c r="X2" i="1"/>
  <c r="Y2" i="1" s="1"/>
  <c r="Z2" i="1" s="1"/>
  <c r="Z9" i="1" s="1"/>
  <c r="D9" i="1"/>
  <c r="B12" i="1"/>
  <c r="B13" i="1"/>
  <c r="E3" i="1"/>
  <c r="B9" i="1"/>
  <c r="B11" i="1" l="1"/>
  <c r="G8" i="1" l="1"/>
  <c r="H8" i="1" s="1"/>
  <c r="I8" i="1" s="1"/>
  <c r="G7" i="1"/>
  <c r="H7" i="1" s="1"/>
  <c r="I7" i="1" s="1"/>
  <c r="G6" i="1"/>
  <c r="H6" i="1" s="1"/>
  <c r="I6" i="1" s="1"/>
  <c r="G5" i="1"/>
  <c r="H5" i="1" s="1"/>
  <c r="I5" i="1" s="1"/>
  <c r="G4" i="1"/>
  <c r="H4" i="1" s="1"/>
  <c r="I4" i="1" s="1"/>
  <c r="G3" i="1"/>
  <c r="H3" i="1" s="1"/>
  <c r="I3" i="1" s="1"/>
  <c r="G2" i="1"/>
  <c r="H2" i="1" s="1"/>
  <c r="I2" i="1" s="1"/>
  <c r="I9" i="1" s="1"/>
</calcChain>
</file>

<file path=xl/sharedStrings.xml><?xml version="1.0" encoding="utf-8"?>
<sst xmlns="http://schemas.openxmlformats.org/spreadsheetml/2006/main" count="66" uniqueCount="33">
  <si>
    <t xml:space="preserve">Nilai </t>
  </si>
  <si>
    <t>F</t>
  </si>
  <si>
    <t>23 - 29</t>
  </si>
  <si>
    <t>30 - 36</t>
  </si>
  <si>
    <t>37 - 43</t>
  </si>
  <si>
    <t>44 - 50</t>
  </si>
  <si>
    <t>51 - 57</t>
  </si>
  <si>
    <t xml:space="preserve">58 - 64 </t>
  </si>
  <si>
    <t>64 - 74</t>
  </si>
  <si>
    <t>total</t>
  </si>
  <si>
    <t xml:space="preserve">mean </t>
  </si>
  <si>
    <t xml:space="preserve">modus </t>
  </si>
  <si>
    <t>median</t>
  </si>
  <si>
    <t xml:space="preserve">variasi </t>
  </si>
  <si>
    <t xml:space="preserve">deviasi standar </t>
  </si>
  <si>
    <t>Fi</t>
  </si>
  <si>
    <t>xi</t>
  </si>
  <si>
    <t>fi.xi</t>
  </si>
  <si>
    <t xml:space="preserve"> tb = 36,5</t>
  </si>
  <si>
    <t>1/2n =  25</t>
  </si>
  <si>
    <t>F = 22</t>
  </si>
  <si>
    <t>fe = 9</t>
  </si>
  <si>
    <t>i = 7</t>
  </si>
  <si>
    <t>utk median</t>
  </si>
  <si>
    <t>utk modus</t>
  </si>
  <si>
    <t>tb = 29,5</t>
  </si>
  <si>
    <t>d1 = 10</t>
  </si>
  <si>
    <t>d2 = 7</t>
  </si>
  <si>
    <t>x</t>
  </si>
  <si>
    <t>|x-mean|</t>
  </si>
  <si>
    <t>|x-mean|^2</t>
  </si>
  <si>
    <t>fi|x-mean|^2</t>
  </si>
  <si>
    <t>65 - 74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</si>
</sst>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3" fillId="4" borderId="0" xfId="3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  <xf numFmtId="0" fontId="3" fillId="4" borderId="1" xfId="3" applyBorder="1" applyAlignment="1">
      <alignment horizontal="center"/>
    </xf>
    <xf numFmtId="0" fontId="2" fillId="3" borderId="1" xfId="2" applyBorder="1" applyAlignment="1">
      <alignment horizontal="center"/>
    </xf>
  </cellXfs>
  <cellStyles count="4">
    <cellStyle name="Accent5" xfId="3" builtinId="45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23AB-B99A-4D27-8FAE-D2A24CFED8C7}">
  <dimension ref="A1:Z16"/>
  <sheetViews>
    <sheetView tabSelected="1" topLeftCell="O3" workbookViewId="0">
      <selection activeCell="S13" sqref="S13"/>
    </sheetView>
  </sheetViews>
  <sheetFormatPr defaultRowHeight="14.5" x14ac:dyDescent="0.35"/>
  <cols>
    <col min="1" max="1" width="13.81640625" style="2" customWidth="1"/>
    <col min="2" max="2" width="12.26953125" style="2" customWidth="1"/>
    <col min="3" max="3" width="6.26953125" style="2" customWidth="1"/>
    <col min="4" max="4" width="13.08984375" style="2" customWidth="1"/>
    <col min="5" max="5" width="11.453125" style="2" customWidth="1"/>
    <col min="6" max="6" width="5.36328125" style="2" customWidth="1"/>
    <col min="7" max="7" width="11.6328125" style="2" customWidth="1"/>
    <col min="8" max="8" width="13.81640625" style="2" customWidth="1"/>
    <col min="9" max="9" width="15.90625" style="2" customWidth="1"/>
    <col min="10" max="16" width="8.7265625" style="2"/>
    <col min="17" max="17" width="7.1796875" style="2" customWidth="1"/>
    <col min="18" max="18" width="18.26953125" style="2" customWidth="1"/>
    <col min="19" max="20" width="8.7265625" style="2"/>
    <col min="21" max="21" width="10.1796875" style="2" customWidth="1"/>
    <col min="22" max="24" width="8.7265625" style="2"/>
    <col min="25" max="25" width="13.36328125" style="2" customWidth="1"/>
    <col min="26" max="26" width="16.36328125" style="2" customWidth="1"/>
    <col min="27" max="16384" width="8.7265625" style="2"/>
  </cols>
  <sheetData>
    <row r="1" spans="1:26" x14ac:dyDescent="0.35">
      <c r="A1" s="6" t="s">
        <v>0</v>
      </c>
      <c r="B1" s="6" t="s">
        <v>15</v>
      </c>
      <c r="C1" s="6" t="s">
        <v>16</v>
      </c>
      <c r="D1" s="6" t="s">
        <v>17</v>
      </c>
      <c r="E1" s="6" t="s">
        <v>1</v>
      </c>
      <c r="F1" s="6" t="s">
        <v>28</v>
      </c>
      <c r="G1" s="6" t="s">
        <v>29</v>
      </c>
      <c r="H1" s="6" t="s">
        <v>30</v>
      </c>
      <c r="I1" s="6" t="s">
        <v>31</v>
      </c>
      <c r="R1" s="1" t="s">
        <v>0</v>
      </c>
      <c r="S1" s="1" t="s">
        <v>15</v>
      </c>
      <c r="T1" s="1" t="s">
        <v>16</v>
      </c>
      <c r="U1" s="1" t="s">
        <v>17</v>
      </c>
      <c r="V1" s="1" t="s">
        <v>1</v>
      </c>
      <c r="W1" s="1" t="s">
        <v>28</v>
      </c>
      <c r="X1" s="1" t="s">
        <v>29</v>
      </c>
      <c r="Y1" s="1" t="s">
        <v>30</v>
      </c>
      <c r="Z1" s="1" t="s">
        <v>31</v>
      </c>
    </row>
    <row r="2" spans="1:26" x14ac:dyDescent="0.35">
      <c r="A2" s="5" t="s">
        <v>2</v>
      </c>
      <c r="B2" s="5">
        <v>6</v>
      </c>
      <c r="C2" s="5">
        <v>26</v>
      </c>
      <c r="D2" s="5">
        <v>156</v>
      </c>
      <c r="E2" s="5">
        <v>6</v>
      </c>
      <c r="F2" s="5">
        <v>26</v>
      </c>
      <c r="G2" s="5">
        <f>B11-F2</f>
        <v>15.420000000000002</v>
      </c>
      <c r="H2" s="5">
        <f t="shared" ref="H2:H8" si="0">G2*G2</f>
        <v>237.77640000000005</v>
      </c>
      <c r="I2" s="5">
        <f>B2*H2</f>
        <v>1426.6584000000003</v>
      </c>
      <c r="R2" s="2" t="s">
        <v>2</v>
      </c>
      <c r="S2" s="2">
        <v>6</v>
      </c>
      <c r="T2" s="2">
        <v>26</v>
      </c>
      <c r="U2" s="2">
        <v>156</v>
      </c>
      <c r="V2" s="2">
        <v>6</v>
      </c>
      <c r="W2" s="2">
        <v>26</v>
      </c>
      <c r="X2" s="2">
        <f>S11-W2</f>
        <v>15.420000000000002</v>
      </c>
      <c r="Y2" s="2">
        <f t="shared" ref="Y2:Y8" si="1">X2*X2</f>
        <v>237.77640000000005</v>
      </c>
      <c r="Z2" s="2">
        <f>S2*Y2</f>
        <v>1426.6584000000003</v>
      </c>
    </row>
    <row r="3" spans="1:26" x14ac:dyDescent="0.35">
      <c r="A3" s="7" t="s">
        <v>3</v>
      </c>
      <c r="B3" s="7">
        <v>16</v>
      </c>
      <c r="C3" s="5">
        <v>33</v>
      </c>
      <c r="D3" s="5">
        <v>528</v>
      </c>
      <c r="E3" s="5">
        <f>B2+B3</f>
        <v>22</v>
      </c>
      <c r="F3" s="5">
        <v>33</v>
      </c>
      <c r="G3" s="5">
        <f>B11-F3</f>
        <v>8.4200000000000017</v>
      </c>
      <c r="H3" s="5">
        <f t="shared" si="0"/>
        <v>70.896400000000028</v>
      </c>
      <c r="I3" s="5">
        <f t="shared" ref="I3:I8" si="2">B3*H3</f>
        <v>1134.3424000000005</v>
      </c>
      <c r="R3" s="4" t="s">
        <v>3</v>
      </c>
      <c r="S3" s="4">
        <v>16</v>
      </c>
      <c r="T3" s="2">
        <v>33</v>
      </c>
      <c r="U3" s="2">
        <v>528</v>
      </c>
      <c r="V3" s="2">
        <f>S2+S3</f>
        <v>22</v>
      </c>
      <c r="W3" s="2">
        <v>33</v>
      </c>
      <c r="X3" s="2">
        <f>S11-W3</f>
        <v>8.4200000000000017</v>
      </c>
      <c r="Y3" s="2">
        <f t="shared" si="1"/>
        <v>70.896400000000028</v>
      </c>
      <c r="Z3" s="2">
        <f t="shared" ref="Z3:Z8" si="3">S3*Y3</f>
        <v>1134.3424000000005</v>
      </c>
    </row>
    <row r="4" spans="1:26" x14ac:dyDescent="0.35">
      <c r="A4" s="8" t="s">
        <v>4</v>
      </c>
      <c r="B4" s="8">
        <v>9</v>
      </c>
      <c r="C4" s="5">
        <v>40</v>
      </c>
      <c r="D4" s="5">
        <v>360</v>
      </c>
      <c r="E4" s="8">
        <v>31</v>
      </c>
      <c r="F4" s="5">
        <v>40</v>
      </c>
      <c r="G4" s="5">
        <f>B11-F4</f>
        <v>1.4200000000000017</v>
      </c>
      <c r="H4" s="5">
        <f t="shared" si="0"/>
        <v>2.0164000000000049</v>
      </c>
      <c r="I4" s="5">
        <f t="shared" si="2"/>
        <v>18.147600000000043</v>
      </c>
      <c r="R4" s="3" t="s">
        <v>4</v>
      </c>
      <c r="S4" s="3">
        <v>9</v>
      </c>
      <c r="T4" s="2">
        <v>40</v>
      </c>
      <c r="U4" s="2">
        <v>360</v>
      </c>
      <c r="V4" s="3">
        <v>31</v>
      </c>
      <c r="W4" s="2">
        <v>40</v>
      </c>
      <c r="X4" s="2">
        <f>S11-W4</f>
        <v>1.4200000000000017</v>
      </c>
      <c r="Y4" s="2">
        <f t="shared" si="1"/>
        <v>2.0164000000000049</v>
      </c>
      <c r="Z4" s="2">
        <f t="shared" si="3"/>
        <v>18.147600000000043</v>
      </c>
    </row>
    <row r="5" spans="1:26" x14ac:dyDescent="0.35">
      <c r="A5" s="5" t="s">
        <v>5</v>
      </c>
      <c r="B5" s="5">
        <v>7</v>
      </c>
      <c r="C5" s="5">
        <v>47</v>
      </c>
      <c r="D5" s="5">
        <v>329</v>
      </c>
      <c r="E5" s="5">
        <v>38</v>
      </c>
      <c r="F5" s="5">
        <v>47</v>
      </c>
      <c r="G5" s="5">
        <f>F5-B11</f>
        <v>5.5799999999999983</v>
      </c>
      <c r="H5" s="5">
        <f t="shared" si="0"/>
        <v>31.136399999999981</v>
      </c>
      <c r="I5" s="5">
        <f t="shared" si="2"/>
        <v>217.95479999999986</v>
      </c>
      <c r="R5" s="2" t="s">
        <v>5</v>
      </c>
      <c r="S5" s="2">
        <v>7</v>
      </c>
      <c r="T5" s="2">
        <v>47</v>
      </c>
      <c r="U5" s="2">
        <v>329</v>
      </c>
      <c r="V5" s="2">
        <v>38</v>
      </c>
      <c r="W5" s="2">
        <v>47</v>
      </c>
      <c r="X5" s="2">
        <f>W5-S11</f>
        <v>5.5799999999999983</v>
      </c>
      <c r="Y5" s="2">
        <f t="shared" si="1"/>
        <v>31.136399999999981</v>
      </c>
      <c r="Z5" s="2">
        <f t="shared" si="3"/>
        <v>217.95479999999986</v>
      </c>
    </row>
    <row r="6" spans="1:26" x14ac:dyDescent="0.35">
      <c r="A6" s="5" t="s">
        <v>6</v>
      </c>
      <c r="B6" s="5">
        <v>6</v>
      </c>
      <c r="C6" s="5">
        <v>54</v>
      </c>
      <c r="D6" s="5">
        <v>324</v>
      </c>
      <c r="E6" s="5">
        <v>44</v>
      </c>
      <c r="F6" s="5">
        <v>54</v>
      </c>
      <c r="G6" s="5">
        <f>F6-B11</f>
        <v>12.579999999999998</v>
      </c>
      <c r="H6" s="5">
        <f t="shared" si="0"/>
        <v>158.25639999999996</v>
      </c>
      <c r="I6" s="5">
        <f t="shared" si="2"/>
        <v>949.53839999999968</v>
      </c>
      <c r="R6" s="2" t="s">
        <v>6</v>
      </c>
      <c r="S6" s="2">
        <v>6</v>
      </c>
      <c r="T6" s="2">
        <v>54</v>
      </c>
      <c r="U6" s="2">
        <v>324</v>
      </c>
      <c r="V6" s="2">
        <v>44</v>
      </c>
      <c r="W6" s="2">
        <v>54</v>
      </c>
      <c r="X6" s="2">
        <f>W6-S11</f>
        <v>12.579999999999998</v>
      </c>
      <c r="Y6" s="2">
        <f t="shared" si="1"/>
        <v>158.25639999999996</v>
      </c>
      <c r="Z6" s="2">
        <f t="shared" si="3"/>
        <v>949.53839999999968</v>
      </c>
    </row>
    <row r="7" spans="1:26" x14ac:dyDescent="0.35">
      <c r="A7" s="5" t="s">
        <v>7</v>
      </c>
      <c r="B7" s="5">
        <v>5</v>
      </c>
      <c r="C7" s="5">
        <v>61</v>
      </c>
      <c r="D7" s="5">
        <v>305</v>
      </c>
      <c r="E7" s="5">
        <v>49</v>
      </c>
      <c r="F7" s="5">
        <v>62</v>
      </c>
      <c r="G7" s="5">
        <f>F7-B11</f>
        <v>20.58</v>
      </c>
      <c r="H7" s="5">
        <f t="shared" si="0"/>
        <v>423.53639999999996</v>
      </c>
      <c r="I7" s="5">
        <f t="shared" si="2"/>
        <v>2117.6819999999998</v>
      </c>
      <c r="L7" s="5"/>
      <c r="R7" s="2" t="s">
        <v>7</v>
      </c>
      <c r="S7" s="2">
        <v>5</v>
      </c>
      <c r="T7" s="2">
        <v>61</v>
      </c>
      <c r="U7" s="2">
        <v>305</v>
      </c>
      <c r="V7" s="2">
        <v>49</v>
      </c>
      <c r="W7" s="2">
        <v>62</v>
      </c>
      <c r="X7" s="2">
        <f>W7-S11</f>
        <v>20.58</v>
      </c>
      <c r="Y7" s="2">
        <f t="shared" si="1"/>
        <v>423.53639999999996</v>
      </c>
      <c r="Z7" s="2">
        <f t="shared" si="3"/>
        <v>2117.6819999999998</v>
      </c>
    </row>
    <row r="8" spans="1:26" x14ac:dyDescent="0.35">
      <c r="A8" s="5" t="s">
        <v>32</v>
      </c>
      <c r="B8" s="5">
        <v>1</v>
      </c>
      <c r="C8" s="5">
        <v>69</v>
      </c>
      <c r="D8" s="5">
        <v>69</v>
      </c>
      <c r="E8" s="5">
        <v>50</v>
      </c>
      <c r="F8" s="5">
        <v>71</v>
      </c>
      <c r="G8" s="5">
        <f>F8-B11</f>
        <v>29.58</v>
      </c>
      <c r="H8" s="5">
        <f t="shared" si="0"/>
        <v>874.9763999999999</v>
      </c>
      <c r="I8" s="5">
        <f t="shared" si="2"/>
        <v>874.9763999999999</v>
      </c>
      <c r="R8" s="2" t="s">
        <v>8</v>
      </c>
      <c r="S8" s="2">
        <v>1</v>
      </c>
      <c r="T8" s="2">
        <v>69</v>
      </c>
      <c r="U8" s="2">
        <v>69</v>
      </c>
      <c r="V8" s="2">
        <v>50</v>
      </c>
      <c r="W8" s="2">
        <v>71</v>
      </c>
      <c r="X8" s="2">
        <f>W8-S11</f>
        <v>29.58</v>
      </c>
      <c r="Y8" s="2">
        <f t="shared" si="1"/>
        <v>874.9763999999999</v>
      </c>
      <c r="Z8" s="2">
        <f t="shared" si="3"/>
        <v>874.9763999999999</v>
      </c>
    </row>
    <row r="9" spans="1:26" x14ac:dyDescent="0.35">
      <c r="A9" s="5" t="s">
        <v>9</v>
      </c>
      <c r="B9" s="5">
        <f>SUM(B2:B8)</f>
        <v>50</v>
      </c>
      <c r="C9" s="5"/>
      <c r="D9" s="5">
        <f>SUM(D2:D8)</f>
        <v>2071</v>
      </c>
      <c r="E9" s="5"/>
      <c r="F9" s="5">
        <v>333</v>
      </c>
      <c r="G9" s="5"/>
      <c r="H9" s="5"/>
      <c r="I9" s="5">
        <f>I2+I3+I4+I5+I6+I7+I8</f>
        <v>6739.3</v>
      </c>
      <c r="R9" s="2" t="s">
        <v>9</v>
      </c>
      <c r="S9" s="2">
        <f>SUM(S2:S8)</f>
        <v>50</v>
      </c>
      <c r="U9" s="2">
        <f>SUM(U2:U8)</f>
        <v>2071</v>
      </c>
      <c r="W9" s="2">
        <v>333</v>
      </c>
      <c r="Z9" s="2">
        <f>Z2+Z3+Z4+Z5+Z6+Z7+Z8</f>
        <v>6739.3</v>
      </c>
    </row>
    <row r="11" spans="1:26" x14ac:dyDescent="0.35">
      <c r="A11" s="5" t="s">
        <v>10</v>
      </c>
      <c r="B11" s="5">
        <f>D9/B9</f>
        <v>41.42</v>
      </c>
      <c r="C11" s="5"/>
      <c r="D11" s="8" t="s">
        <v>23</v>
      </c>
      <c r="E11" s="7" t="s">
        <v>24</v>
      </c>
      <c r="R11" s="2" t="s">
        <v>10</v>
      </c>
      <c r="S11" s="2">
        <f>U9/S9</f>
        <v>41.42</v>
      </c>
      <c r="U11" s="3" t="s">
        <v>23</v>
      </c>
      <c r="V11" s="4" t="s">
        <v>24</v>
      </c>
    </row>
    <row r="12" spans="1:26" x14ac:dyDescent="0.35">
      <c r="A12" s="7" t="s">
        <v>11</v>
      </c>
      <c r="B12" s="7">
        <f>29.5+(10/17)*7</f>
        <v>33.617647058823529</v>
      </c>
      <c r="C12" s="5"/>
      <c r="D12" s="5" t="s">
        <v>18</v>
      </c>
      <c r="E12" s="5" t="s">
        <v>25</v>
      </c>
      <c r="R12" s="4" t="s">
        <v>11</v>
      </c>
      <c r="S12" s="4">
        <f>29.5+(10/17)*7</f>
        <v>33.617647058823529</v>
      </c>
      <c r="U12" s="2" t="s">
        <v>18</v>
      </c>
      <c r="V12" s="2" t="s">
        <v>25</v>
      </c>
    </row>
    <row r="13" spans="1:26" x14ac:dyDescent="0.35">
      <c r="A13" s="8" t="s">
        <v>12</v>
      </c>
      <c r="B13" s="8">
        <f>36.5+(3/9)*7</f>
        <v>38.833333333333336</v>
      </c>
      <c r="C13" s="5"/>
      <c r="D13" s="5" t="s">
        <v>19</v>
      </c>
      <c r="E13" s="5" t="s">
        <v>26</v>
      </c>
      <c r="R13" s="3" t="s">
        <v>12</v>
      </c>
      <c r="S13" s="3">
        <f>36.5+(3/9)*7</f>
        <v>38.833333333333336</v>
      </c>
      <c r="U13" s="2" t="s">
        <v>19</v>
      </c>
      <c r="V13" s="2" t="s">
        <v>26</v>
      </c>
    </row>
    <row r="14" spans="1:26" x14ac:dyDescent="0.35">
      <c r="A14" s="5" t="s">
        <v>13</v>
      </c>
      <c r="B14" s="5">
        <f>6739.3/50</f>
        <v>134.786</v>
      </c>
      <c r="C14" s="5"/>
      <c r="D14" s="5" t="s">
        <v>20</v>
      </c>
      <c r="E14" s="5" t="s">
        <v>27</v>
      </c>
      <c r="O14" s="5"/>
      <c r="R14" s="2" t="s">
        <v>13</v>
      </c>
      <c r="S14" s="2">
        <f>6739.3/49</f>
        <v>137.53673469387755</v>
      </c>
      <c r="U14" s="2" t="s">
        <v>20</v>
      </c>
      <c r="V14" s="2" t="s">
        <v>27</v>
      </c>
    </row>
    <row r="15" spans="1:26" x14ac:dyDescent="0.35">
      <c r="A15" s="5" t="s">
        <v>14</v>
      </c>
      <c r="B15" s="5">
        <f>B14^(1/2)</f>
        <v>11.609737292462738</v>
      </c>
      <c r="C15" s="5"/>
      <c r="D15" s="5" t="s">
        <v>21</v>
      </c>
      <c r="E15" s="5" t="s">
        <v>22</v>
      </c>
      <c r="R15" s="2" t="s">
        <v>14</v>
      </c>
      <c r="S15" s="2">
        <f>S14^(1/2)</f>
        <v>11.727605667563926</v>
      </c>
      <c r="U15" s="2" t="s">
        <v>21</v>
      </c>
      <c r="V15" s="2" t="s">
        <v>22</v>
      </c>
    </row>
    <row r="16" spans="1:26" x14ac:dyDescent="0.35">
      <c r="A16" s="5"/>
      <c r="B16" s="5"/>
      <c r="C16" s="5"/>
      <c r="D16" s="5" t="s">
        <v>22</v>
      </c>
      <c r="E16" s="5"/>
      <c r="U16" s="2" t="s">
        <v>22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687</dc:creator>
  <cp:lastModifiedBy>rahmat 687</cp:lastModifiedBy>
  <dcterms:created xsi:type="dcterms:W3CDTF">2024-03-08T08:09:27Z</dcterms:created>
  <dcterms:modified xsi:type="dcterms:W3CDTF">2024-04-19T15:20:33Z</dcterms:modified>
</cp:coreProperties>
</file>